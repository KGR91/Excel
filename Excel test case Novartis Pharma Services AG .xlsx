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Георгий\Downloads\final test\"/>
    </mc:Choice>
  </mc:AlternateContent>
  <xr:revisionPtr revIDLastSave="0" documentId="13_ncr:1_{BAA28C4A-2323-453F-BF8F-834BE578B4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 ответов" sheetId="2" r:id="rId1"/>
    <sheet name="База данных" sheetId="1" r:id="rId2"/>
    <sheet name="Відомості1" sheetId="5" r:id="rId3"/>
    <sheet name="Sheet2" sheetId="4" r:id="rId4"/>
  </sheets>
  <definedNames>
    <definedName name="_xlnm._FilterDatabase" localSheetId="1" hidden="1">'База данных'!$A$1:$A$626</definedName>
  </definedNames>
  <calcPr calcId="181029"/>
</workbook>
</file>

<file path=xl/calcChain.xml><?xml version="1.0" encoding="utf-8"?>
<calcChain xmlns="http://schemas.openxmlformats.org/spreadsheetml/2006/main">
  <c r="D26" i="2" l="1"/>
  <c r="F26" i="2" s="1"/>
  <c r="C27" i="2" s="1"/>
  <c r="L7" i="1"/>
  <c r="L5" i="1"/>
  <c r="K197" i="1" a="1"/>
  <c r="K197" i="1" s="1"/>
  <c r="L269" i="1" a="1"/>
  <c r="L269" i="1" s="1"/>
  <c r="D25" i="2" a="1"/>
  <c r="D25" i="2" s="1"/>
  <c r="F25" i="2" s="1"/>
  <c r="C26" i="2" s="1"/>
  <c r="B26" i="2" s="1"/>
  <c r="D24" i="2" a="1"/>
  <c r="D24" i="2" s="1"/>
  <c r="F24" i="2" s="1"/>
  <c r="C25" i="2" s="1"/>
  <c r="B25" i="2" s="1"/>
  <c r="L3" i="1" a="1"/>
  <c r="L3" i="1" s="1"/>
  <c r="D23" i="2" a="1"/>
  <c r="D23" i="2" s="1"/>
  <c r="F23" i="2" s="1"/>
  <c r="C24" i="2" s="1"/>
  <c r="B24" i="2" s="1"/>
  <c r="L2" i="1"/>
  <c r="F22" i="2"/>
  <c r="C23" i="2" s="1"/>
  <c r="B23" i="2" s="1"/>
  <c r="D21" i="2" a="1"/>
  <c r="D21" i="2" s="1"/>
  <c r="F21" i="2" s="1"/>
  <c r="C22" i="2" s="1"/>
  <c r="B22" i="2" s="1"/>
  <c r="D20" i="2" a="1"/>
  <c r="D20" i="2" s="1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 a="1"/>
  <c r="D16" i="2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2" i="1"/>
  <c r="M13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2" i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5" i="2"/>
  <c r="F5" i="2" s="1"/>
  <c r="C6" i="2" s="1"/>
  <c r="B6" i="2" s="1"/>
  <c r="D6" i="2"/>
  <c r="F6" i="2" s="1"/>
  <c r="C7" i="2" s="1"/>
  <c r="B7" i="2" s="1"/>
  <c r="D4" i="2"/>
  <c r="F4" i="2" s="1"/>
  <c r="C5" i="2" s="1"/>
  <c r="B5" i="2" s="1"/>
  <c r="D3" i="2"/>
  <c r="F3" i="2" s="1"/>
  <c r="C4" i="2" s="1"/>
  <c r="B4" i="2" s="1"/>
  <c r="G380" i="1"/>
  <c r="G388" i="1" a="1"/>
  <c r="G388" i="1" s="1"/>
  <c r="D27" i="2"/>
  <c r="A3" i="4" a="1"/>
  <c r="A3" i="4" s="1"/>
  <c r="A2" i="4"/>
  <c r="A1" i="4"/>
  <c r="F16" i="2" l="1"/>
  <c r="C17" i="2" s="1"/>
  <c r="B17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<sst xmlns="http://schemas.openxmlformats.org/spreadsheetml/2006/main" count="1264" uniqueCount="18">
  <si>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</si>
  <si>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</si>
  <si>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</si>
  <si>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</si>
  <si>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</si>
  <si>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</si>
  <si>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</si>
  <si>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</si>
  <si>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</si>
  <si>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</si>
  <si>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</si>
  <si>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</si>
  <si>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</si>
  <si>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</si>
  <si>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</si>
  <si>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</si>
  <si>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</si>
  <si>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Відомості про Кількість з Абонент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</si>
</sst>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/>
      <protection locked="0"/>
    </xf>
    <xf numFmtId="2" fontId="0" fillId="0" borderId="9" xfId="0" applyNumberForma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49" fontId="2" fillId="0" borderId="4" xfId="0" applyNumberFormat="1" applyFont="1" applyBorder="1" applyAlignment="1" applyProtection="1">
      <alignment horizontal="center" vertical="center" wrapText="1"/>
      <protection locked="0"/>
    </xf>
    <xf numFmtId="2" fontId="2" fillId="0" borderId="10" xfId="0" applyNumberFormat="1" applyFont="1" applyBorder="1" applyAlignment="1" applyProtection="1">
      <alignment horizontal="center" vertical="center" wrapText="1"/>
      <protection locked="0"/>
    </xf>
    <xf numFmtId="49" fontId="2" fillId="0" borderId="7" xfId="0" applyNumberFormat="1" applyFont="1" applyBorder="1" applyAlignment="1" applyProtection="1">
      <alignment horizontal="center" vertical="center" wrapText="1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6" fillId="0" borderId="0" xfId="0" applyFont="1"/>
  </cellXfs>
  <cellStyles count="2">
    <cellStyle name="Відсотковий" xfId="1" builtinId="5"/>
    <cellStyle name="Звичайний" xfId="0" builtinId="0"/>
  </cellStyles>
  <dxfs count="21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4EBB3-C553-4064-BEE6-4D1B748676BE}" name="Таблиця1" displayName="Таблиця1" ref="A1:E624" totalsRowShown="0" headerRowBorderDxfId="20" tableBorderDxfId="19">
  <autoFilter ref="A1:E624" xr:uid="{9CB4EBB3-C553-4064-BEE6-4D1B748676BE}"/>
  <tableColumns count="5">
    <tableColumn id="1" xr3:uid="{E222F2DC-CC64-462C-B712-A0E7DCB51595}" name="Абонент" dataDxfId="18"/>
    <tableColumn id="2" xr3:uid="{D90EE5AB-63E4-4F02-9B53-D0F124F27DC9}" name="Тарифный план" dataDxfId="17"/>
    <tableColumn id="3" xr3:uid="{A568DB6C-2AD8-4CE8-8A59-00C8F72208D7}" name="Направление звонка" dataDxfId="16"/>
    <tableColumn id="4" xr3:uid="{60AD0F95-D52E-4D69-8B58-81E5B07D078B}" name="Начисления, тенге" dataDxfId="15"/>
    <tableColumn id="5" xr3:uid="{140880AF-3E0A-4D86-AB7D-AA17D9BA8FBA}" name="Продолжительность разговора, секунды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EE3357-4F8A-4BD8-9B33-A8DCA25B5C67}" name="Таблиця2" displayName="Таблиця2" ref="A3:E626" totalsRowShown="0">
  <autoFilter ref="A3:E626" xr:uid="{2FEE3357-4F8A-4BD8-9B33-A8DCA25B5C67}"/>
  <tableColumns count="5">
    <tableColumn id="1" xr3:uid="{F11427B3-8662-41DA-9E79-92ABC81DAADA}" name="Абонент"/>
    <tableColumn id="2" xr3:uid="{7E04C7A3-BF34-4DD6-AB1A-AD6DD7CFE5BE}" name="Тарифный план"/>
    <tableColumn id="3" xr3:uid="{BFABD7F8-381A-4244-B925-E22E8EF0EDB5}" name="Направление звонка"/>
    <tableColumn id="4" xr3:uid="{9C5C8D2E-7ABB-456B-89C6-398A65C615CC}" name="Начисления, тенге"/>
    <tableColumn id="5" xr3:uid="{0DBAF2C8-39F6-459D-91E2-79434F5BD61F}" name="Продолжительность разговора, секунды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22" zoomScale="85" zoomScaleNormal="85" workbookViewId="0">
      <selection activeCell="D27" sqref="D27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3" hidden="1" customWidth="1"/>
    <col min="16" max="16" width="8" style="24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27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34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27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COUNTA('База данных'!A2:A624)</f>
        <v>623</v>
      </c>
      <c r="F5" s="11" t="str">
        <f t="shared" si="0"/>
        <v>Правильный ответ</v>
      </c>
      <c r="O5" s="5">
        <v>623</v>
      </c>
      <c r="P5" s="27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данных'!E2:E624)/60,1)</f>
        <v>131.4</v>
      </c>
      <c r="F6" s="11" t="str">
        <f t="shared" si="0"/>
        <v>Правильный ответ</v>
      </c>
      <c r="O6" s="5">
        <v>131.4</v>
      </c>
      <c r="P6" s="27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данных'!C2:C624,"Внутри сети",'База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27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данных'!C2:C624,"На других операторов",'База данных'!E2:E624)</f>
        <v>362</v>
      </c>
      <c r="F8" s="11" t="str">
        <f t="shared" si="0"/>
        <v>Правильный ответ</v>
      </c>
      <c r="O8" s="5">
        <v>362</v>
      </c>
      <c r="P8" s="27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данных'!B2:B624,2)</f>
        <v>66</v>
      </c>
      <c r="F9" s="11" t="str">
        <f t="shared" si="0"/>
        <v>Правильный ответ</v>
      </c>
      <c r="O9" s="5">
        <v>66</v>
      </c>
      <c r="P9" s="27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данных'!D2:D624)/(SUM('База данных'!E2:E624)/60),2)</f>
        <v>29.68</v>
      </c>
      <c r="F10" s="11" t="str">
        <f t="shared" si="0"/>
        <v>Правильный ответ</v>
      </c>
      <c r="O10" s="5">
        <v>29.68</v>
      </c>
      <c r="P10" s="27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ROUND(SUM('База данных'!E2:E624)/COUNT('База данных'!E2:E624),0)</f>
        <v>13</v>
      </c>
      <c r="F11" s="11" t="str">
        <f t="shared" si="0"/>
        <v>Правильный ответ</v>
      </c>
      <c r="O11" s="5">
        <v>13</v>
      </c>
      <c r="P11" s="27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данных'!C2:C624,"На городской",'База данных'!B2:B624,5)</f>
        <v>33</v>
      </c>
      <c r="F12" s="11" t="str">
        <f t="shared" si="0"/>
        <v>Правильный ответ</v>
      </c>
      <c r="O12" s="5">
        <v>33</v>
      </c>
      <c r="P12" s="27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данных'!C2:C624,"На межнар",'База данных'!B2:B624,1)</f>
        <v>6</v>
      </c>
      <c r="F13" s="11" t="str">
        <f t="shared" si="0"/>
        <v>Правильный ответ</v>
      </c>
      <c r="O13" s="5">
        <v>6</v>
      </c>
      <c r="P13" s="27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данных'!C2:C624,"Внутри сети",'База данных'!E2:E624)/SUM('База данных'!E2:E624),4)</f>
        <v>0.91549999999999998</v>
      </c>
      <c r="F14" s="11" t="str">
        <f t="shared" si="0"/>
        <v>Правильный ответ</v>
      </c>
      <c r="O14" s="16">
        <v>0.91549999999999998</v>
      </c>
      <c r="P14" s="27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данных'!B2:B624,1,'База данных'!D2:D624)/SUM('База данных'!D2:D624),4)</f>
        <v>0.36420000000000002</v>
      </c>
      <c r="F15" s="11" t="str">
        <f t="shared" si="0"/>
        <v>Правильный ответ</v>
      </c>
      <c r="O15" s="17">
        <v>0.36420000000000002</v>
      </c>
      <c r="P15" s="27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1">
        <f t="array" ref="D16">SUM(IF(FREQUENCY('База данных'!A2:A624,'База данных'!A2:A624)&gt;0,1))</f>
        <v>292</v>
      </c>
      <c r="F16" s="11" t="str">
        <f t="shared" si="0"/>
        <v>Правильный ответ</v>
      </c>
      <c r="H16" s="25"/>
      <c r="O16" s="28">
        <v>292</v>
      </c>
      <c r="P16" s="27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0">
        <f t="array" ref="D17">SUM(IF(FREQUENCY(IF('База данных'!C2:C624="Внутри сети",'База данных'!A2:A624),IF('База данных'!C2:C624="Внутри сети",'База данных'!A2:A624))&gt;0,1))</f>
        <v>290</v>
      </c>
      <c r="F17" s="11" t="str">
        <f t="shared" si="0"/>
        <v>Правильный ответ</v>
      </c>
      <c r="O17" s="5">
        <v>290</v>
      </c>
      <c r="P17" s="27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f t="array" ref="D18">SUM(IF(FREQUENCY(IF('База данных'!B2:B624=6,'База данных'!A2:A624),IF('База данных'!B2:B624=6,'База данных'!A2:A624))&gt;0,1))</f>
        <v>63</v>
      </c>
      <c r="F18" s="11" t="str">
        <f t="shared" si="0"/>
        <v>Правильный ответ</v>
      </c>
      <c r="O18" s="5">
        <v>63</v>
      </c>
      <c r="P18" s="27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2">
        <f t="array" ref="D19">ROUND(SUM(IF(FREQUENCY(IF('База данных'!B2:B624=2,'База данных'!A2:A624),IF('База данных'!B2:B624=2,'База данных'!A2:A624))&gt;0,1))/292,4)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27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 t="array" ref="D20">ROUND(SUM('База данных'!D2:D624)/SUM(IF(FREQUENCY('База данных'!A2:A624,'База данных'!A2:A624)&gt;0,1)),2)</f>
        <v>13.35</v>
      </c>
      <c r="F20" s="11" t="str">
        <f t="shared" si="0"/>
        <v>Правильный ответ</v>
      </c>
      <c r="O20" s="15">
        <v>13.35</v>
      </c>
      <c r="P20" s="27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26">
        <f t="array" ref="D21">ROUND(SUM('База данных'!E2:E624)/SUM(IF(FREQUENCY('База данных'!A2:A624,'База данных'!A2:A624)&gt;0,1))/60,1)</f>
        <v>0.4</v>
      </c>
      <c r="F21" s="11" t="str">
        <f t="shared" si="0"/>
        <v>Правильный ответ</v>
      </c>
      <c r="O21" s="29">
        <v>0.4</v>
      </c>
      <c r="P21" s="27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3">
        <v>2705</v>
      </c>
      <c r="F22" s="11" t="str">
        <f t="shared" si="0"/>
        <v>Правильный ответ</v>
      </c>
      <c r="O22" s="5">
        <v>2705</v>
      </c>
      <c r="P22" s="27"/>
    </row>
    <row r="23" spans="1:16" ht="46.5" customHeight="1" x14ac:dyDescent="0.3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>
        <f t="array" ref="D23">INDEX('База данных'!A2:A624,MATCH(MAX('База данных'!D2:D624),'База данных'!D2:D624,0))</f>
        <v>77010000109</v>
      </c>
      <c r="F23" s="11" t="str">
        <f t="shared" si="0"/>
        <v>Правильный ответ</v>
      </c>
      <c r="O23" s="5">
        <v>77010000109</v>
      </c>
      <c r="P23" s="27"/>
    </row>
    <row r="24" spans="1:16" ht="46.5" customHeight="1" x14ac:dyDescent="0.3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>
        <f t="array" ref="D24">INDEX('База данных'!A2:A624,MATCH(MAX(IF('База данных'!B2:B624=5,SUMIF('База данных'!A2:A624,'База данных'!A2:A624,'База данных'!E2:E624))),SUMIF('База данных'!A2:A624,'База данных'!A2:A624,'База данных'!E2:E624),0))</f>
        <v>77010000211</v>
      </c>
      <c r="F24" s="11" t="str">
        <f t="shared" si="0"/>
        <v>Правильный ответ</v>
      </c>
      <c r="O24" s="5">
        <v>77010000211</v>
      </c>
      <c r="P24" s="27"/>
    </row>
    <row r="25" spans="1:16" ht="48.75" customHeight="1" x14ac:dyDescent="0.3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>
        <f t="array" ref="D25">INDEX('База данных'!A2:A624,MATCH(LARGE(IF(MATCH('База данных'!A2:A624,'База данных'!A2:A624,0)=ROW('База данных'!A2:A624)-ROW('База данных'!A2)+1,SUMIF('База данных'!A2:A624,'База данных'!A2:A624,'База данных'!D2:D624)),7),SUMIF('База данных'!A2:A624,'База данных'!A2:A624,'База данных'!D2:D624),0))</f>
        <v>77010000133</v>
      </c>
      <c r="F25" s="11" t="str">
        <f t="shared" si="0"/>
        <v>Правильный ответ</v>
      </c>
      <c r="O25" s="5">
        <v>77010000133</v>
      </c>
      <c r="P25" s="27"/>
    </row>
    <row r="26" spans="1:16" ht="55.5" customHeight="1" x14ac:dyDescent="0.3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tr">
        <f>CONCATENATE(INDEX('База данных'!C2:C624,MATCH("На городской",'База данных'!C2:C624,0)),", ",INDEX('База данных'!C2:C624,MATCH("Другое",'База данных'!C2:C624,0)))</f>
        <v>На городской, Другое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>Тест пройден. Поздравляем!</v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624"/>
  <sheetViews>
    <sheetView topLeftCell="A592" zoomScale="85" zoomScaleNormal="85" workbookViewId="0">
      <selection activeCell="C2" sqref="C2:C624"/>
    </sheetView>
  </sheetViews>
  <sheetFormatPr defaultRowHeight="14.4" x14ac:dyDescent="0.3"/>
  <cols>
    <col min="1" max="1" width="20.5546875" style="43" customWidth="1"/>
    <col min="2" max="2" width="17.5546875" style="22" customWidth="1"/>
    <col min="3" max="3" width="32.5546875" style="22" customWidth="1"/>
    <col min="4" max="4" width="19.77734375" style="22" customWidth="1"/>
    <col min="5" max="5" width="40.6640625" style="31" customWidth="1"/>
    <col min="6" max="6" width="19.109375" bestFit="1" customWidth="1"/>
    <col min="10" max="10" width="12.44140625" bestFit="1" customWidth="1"/>
    <col min="12" max="12" width="12.44140625" bestFit="1" customWidth="1"/>
  </cols>
  <sheetData>
    <row r="1" spans="1:12" s="1" customFormat="1" x14ac:dyDescent="0.3">
      <c r="A1" s="40" t="s">
        <v>9</v>
      </c>
      <c r="B1" s="37" t="s">
        <v>8</v>
      </c>
      <c r="C1" s="38" t="s">
        <v>7</v>
      </c>
      <c r="D1" s="37" t="s">
        <v>5</v>
      </c>
      <c r="E1" s="39" t="s">
        <v>6</v>
      </c>
      <c r="F1"/>
    </row>
    <row r="2" spans="1:12" x14ac:dyDescent="0.3">
      <c r="A2" s="41">
        <v>77010000068</v>
      </c>
      <c r="B2" s="18">
        <v>1</v>
      </c>
      <c r="C2" s="19" t="s">
        <v>0</v>
      </c>
      <c r="D2" s="18">
        <v>0</v>
      </c>
      <c r="E2" s="35">
        <v>0</v>
      </c>
      <c r="H2" t="str">
        <f>TRIM(Таблиця1[[#This Row],[Абонент]])</f>
        <v>77010000068</v>
      </c>
      <c r="J2">
        <f>IF(C2="Внутри сети",A2,"")</f>
        <v>77010000068</v>
      </c>
      <c r="L2">
        <f>SUMIF(B2:B624,VLOOKUP(77010000055,A2:B624,2,FALSE),E2:E624)</f>
        <v>2705</v>
      </c>
    </row>
    <row r="3" spans="1:12" x14ac:dyDescent="0.3">
      <c r="A3" s="42">
        <v>77010000001</v>
      </c>
      <c r="B3" s="20">
        <v>1</v>
      </c>
      <c r="C3" s="21" t="s">
        <v>0</v>
      </c>
      <c r="D3" s="20">
        <v>0.43</v>
      </c>
      <c r="E3" s="36">
        <v>1</v>
      </c>
      <c r="H3" t="str">
        <f>TRIM(Таблиця1[[#This Row],[Абонент]])</f>
        <v>77010000001</v>
      </c>
      <c r="J3">
        <f t="shared" ref="J3:J66" si="0">IF(C3="Внутри сети",A3,"")</f>
        <v>77010000001</v>
      </c>
      <c r="L3">
        <f t="array" ref="L3">INDEX('База данных'!A2:A624,MATCH(MAX('База данных'!D2:D624),'База данных'!D2:D624,0))</f>
        <v>77010000109</v>
      </c>
    </row>
    <row r="4" spans="1:12" x14ac:dyDescent="0.3">
      <c r="A4" s="42">
        <v>77010000003</v>
      </c>
      <c r="B4" s="20">
        <v>1</v>
      </c>
      <c r="C4" s="21" t="s">
        <v>0</v>
      </c>
      <c r="D4" s="20">
        <v>0.43</v>
      </c>
      <c r="E4" s="36">
        <v>1</v>
      </c>
      <c r="H4" t="str">
        <f>TRIM(Таблиця1[[#This Row],[Абонент]])</f>
        <v>77010000003</v>
      </c>
      <c r="J4">
        <f t="shared" si="0"/>
        <v>77010000003</v>
      </c>
    </row>
    <row r="5" spans="1:12" x14ac:dyDescent="0.3">
      <c r="A5" s="42">
        <v>77010000004</v>
      </c>
      <c r="B5" s="20">
        <v>1</v>
      </c>
      <c r="C5" s="21" t="s">
        <v>0</v>
      </c>
      <c r="D5" s="20">
        <v>0.43</v>
      </c>
      <c r="E5" s="36">
        <v>1</v>
      </c>
      <c r="H5" t="str">
        <f>TRIM(Таблиця1[[#This Row],[Абонент]])</f>
        <v>77010000004</v>
      </c>
      <c r="J5">
        <f t="shared" si="0"/>
        <v>77010000004</v>
      </c>
      <c r="L5" t="str">
        <f>CONCATENATE('База данных'!C2,"; ",INDEX('База данных'!C2:C624,MATCH("На городской",'База данных'!C2:C624,0)))</f>
        <v>Внутри сети; На городской</v>
      </c>
    </row>
    <row r="6" spans="1:12" x14ac:dyDescent="0.3">
      <c r="A6" s="42">
        <v>77010000008</v>
      </c>
      <c r="B6" s="20">
        <v>1</v>
      </c>
      <c r="C6" s="21" t="s">
        <v>0</v>
      </c>
      <c r="D6" s="20">
        <v>0.43</v>
      </c>
      <c r="E6" s="36">
        <v>1</v>
      </c>
      <c r="H6" t="str">
        <f>TRIM(Таблиця1[[#This Row],[Абонент]])</f>
        <v>77010000008</v>
      </c>
      <c r="J6">
        <f t="shared" si="0"/>
        <v>77010000008</v>
      </c>
    </row>
    <row r="7" spans="1:12" x14ac:dyDescent="0.3">
      <c r="A7" s="42">
        <v>77010000052</v>
      </c>
      <c r="B7" s="20">
        <v>1</v>
      </c>
      <c r="C7" s="21" t="s">
        <v>0</v>
      </c>
      <c r="D7" s="20">
        <v>0.43</v>
      </c>
      <c r="E7" s="36">
        <v>1</v>
      </c>
      <c r="H7" t="str">
        <f>TRIM(Таблиця1[[#This Row],[Абонент]])</f>
        <v>77010000052</v>
      </c>
      <c r="J7">
        <f t="shared" si="0"/>
        <v>77010000052</v>
      </c>
      <c r="L7" t="str">
        <f>CONCATENATE(INDEX('База данных'!C2:C624,MATCH("Внутри сети",'База данных'!C2:C624,0)),"; ",INDEX('База данных'!C2:C624,MATCH("На городской",'База данных'!C2:C624,0)))</f>
        <v>Внутри сети; На городской</v>
      </c>
    </row>
    <row r="8" spans="1:12" x14ac:dyDescent="0.3">
      <c r="A8" s="42">
        <v>77010000060</v>
      </c>
      <c r="B8" s="20">
        <v>1</v>
      </c>
      <c r="C8" s="21" t="s">
        <v>0</v>
      </c>
      <c r="D8" s="20">
        <v>0.43</v>
      </c>
      <c r="E8" s="36">
        <v>1</v>
      </c>
      <c r="H8" t="str">
        <f>TRIM(Таблиця1[[#This Row],[Абонент]])</f>
        <v>77010000060</v>
      </c>
      <c r="J8">
        <f t="shared" si="0"/>
        <v>77010000060</v>
      </c>
    </row>
    <row r="9" spans="1:12" x14ac:dyDescent="0.3">
      <c r="A9" s="42">
        <v>77010000046</v>
      </c>
      <c r="B9" s="20">
        <v>1</v>
      </c>
      <c r="C9" s="21" t="s">
        <v>0</v>
      </c>
      <c r="D9" s="20">
        <v>0.43</v>
      </c>
      <c r="E9" s="36">
        <v>1</v>
      </c>
      <c r="H9" t="str">
        <f>TRIM(Таблиця1[[#This Row],[Абонент]])</f>
        <v>77010000046</v>
      </c>
      <c r="J9">
        <f t="shared" si="0"/>
        <v>77010000046</v>
      </c>
    </row>
    <row r="10" spans="1:12" x14ac:dyDescent="0.3">
      <c r="A10" s="42">
        <v>77010000054</v>
      </c>
      <c r="B10" s="20">
        <v>1</v>
      </c>
      <c r="C10" s="21" t="s">
        <v>0</v>
      </c>
      <c r="D10" s="20">
        <v>0.43</v>
      </c>
      <c r="E10" s="36">
        <v>1</v>
      </c>
      <c r="H10" t="str">
        <f>TRIM(Таблиця1[[#This Row],[Абонент]])</f>
        <v>77010000054</v>
      </c>
      <c r="J10">
        <f t="shared" si="0"/>
        <v>77010000054</v>
      </c>
    </row>
    <row r="11" spans="1:12" x14ac:dyDescent="0.3">
      <c r="A11" s="42">
        <v>77010000062</v>
      </c>
      <c r="B11" s="20">
        <v>1</v>
      </c>
      <c r="C11" s="21" t="s">
        <v>0</v>
      </c>
      <c r="D11" s="20">
        <v>0.43</v>
      </c>
      <c r="E11" s="36">
        <v>1</v>
      </c>
      <c r="H11" t="str">
        <f>TRIM(Таблиця1[[#This Row],[Абонент]])</f>
        <v>77010000062</v>
      </c>
      <c r="J11">
        <f t="shared" si="0"/>
        <v>77010000062</v>
      </c>
    </row>
    <row r="12" spans="1:12" x14ac:dyDescent="0.3">
      <c r="A12" s="42">
        <v>77010000065</v>
      </c>
      <c r="B12" s="20">
        <v>1</v>
      </c>
      <c r="C12" s="21" t="s">
        <v>0</v>
      </c>
      <c r="D12" s="20">
        <v>0.43</v>
      </c>
      <c r="E12" s="36">
        <v>1</v>
      </c>
      <c r="H12" t="str">
        <f>TRIM(Таблиця1[[#This Row],[Абонент]])</f>
        <v>77010000065</v>
      </c>
      <c r="J12">
        <f t="shared" si="0"/>
        <v>77010000065</v>
      </c>
    </row>
    <row r="13" spans="1:12" x14ac:dyDescent="0.3">
      <c r="A13" s="42">
        <v>77010000066</v>
      </c>
      <c r="B13" s="20">
        <v>1</v>
      </c>
      <c r="C13" s="21" t="s">
        <v>0</v>
      </c>
      <c r="D13" s="20">
        <v>0.43</v>
      </c>
      <c r="E13" s="36">
        <v>1</v>
      </c>
      <c r="H13" t="str">
        <f>TRIM(Таблиця1[[#This Row],[Абонент]])</f>
        <v>77010000066</v>
      </c>
      <c r="J13">
        <f t="shared" si="0"/>
        <v>77010000066</v>
      </c>
    </row>
    <row r="14" spans="1:12" x14ac:dyDescent="0.3">
      <c r="A14" s="42">
        <v>77010000063</v>
      </c>
      <c r="B14" s="20">
        <v>1</v>
      </c>
      <c r="C14" s="21" t="s">
        <v>1</v>
      </c>
      <c r="D14" s="20">
        <v>7.43</v>
      </c>
      <c r="E14" s="36">
        <v>1</v>
      </c>
      <c r="H14" t="str">
        <f>TRIM(Таблиця1[[#This Row],[Абонент]])</f>
        <v>77010000063</v>
      </c>
      <c r="J14" t="str">
        <f t="shared" si="0"/>
        <v/>
      </c>
    </row>
    <row r="15" spans="1:12" x14ac:dyDescent="0.3">
      <c r="A15" s="42">
        <v>77010000066</v>
      </c>
      <c r="B15" s="20">
        <v>1</v>
      </c>
      <c r="C15" s="21" t="s">
        <v>0</v>
      </c>
      <c r="D15" s="20">
        <v>0.43</v>
      </c>
      <c r="E15" s="36">
        <v>1</v>
      </c>
      <c r="H15" t="str">
        <f>TRIM(Таблиця1[[#This Row],[Абонент]])</f>
        <v>77010000066</v>
      </c>
      <c r="J15">
        <f t="shared" si="0"/>
        <v>77010000066</v>
      </c>
    </row>
    <row r="16" spans="1:12" x14ac:dyDescent="0.3">
      <c r="A16" s="42">
        <v>77010000045</v>
      </c>
      <c r="B16" s="20">
        <v>1</v>
      </c>
      <c r="C16" s="21" t="s">
        <v>0</v>
      </c>
      <c r="D16" s="20">
        <v>0.43</v>
      </c>
      <c r="E16" s="36">
        <v>1</v>
      </c>
      <c r="H16" t="str">
        <f>TRIM(Таблиця1[[#This Row],[Абонент]])</f>
        <v>77010000045</v>
      </c>
      <c r="J16">
        <f t="shared" si="0"/>
        <v>77010000045</v>
      </c>
    </row>
    <row r="17" spans="1:10" x14ac:dyDescent="0.3">
      <c r="A17" s="42">
        <v>77010000082</v>
      </c>
      <c r="B17" s="20">
        <v>1</v>
      </c>
      <c r="C17" s="21" t="s">
        <v>0</v>
      </c>
      <c r="D17" s="20">
        <v>0.43</v>
      </c>
      <c r="E17" s="36">
        <v>1</v>
      </c>
      <c r="H17" t="str">
        <f>TRIM(Таблиця1[[#This Row],[Абонент]])</f>
        <v>77010000082</v>
      </c>
      <c r="J17">
        <f t="shared" si="0"/>
        <v>77010000082</v>
      </c>
    </row>
    <row r="18" spans="1:10" x14ac:dyDescent="0.3">
      <c r="A18" s="42">
        <v>77010000094</v>
      </c>
      <c r="B18" s="20">
        <v>1</v>
      </c>
      <c r="C18" s="21" t="s">
        <v>0</v>
      </c>
      <c r="D18" s="20">
        <v>0.43</v>
      </c>
      <c r="E18" s="36">
        <v>1</v>
      </c>
      <c r="H18" t="str">
        <f>TRIM(Таблиця1[[#This Row],[Абонент]])</f>
        <v>77010000094</v>
      </c>
      <c r="J18">
        <f t="shared" si="0"/>
        <v>77010000094</v>
      </c>
    </row>
    <row r="19" spans="1:10" x14ac:dyDescent="0.3">
      <c r="A19" s="42">
        <v>77010000003</v>
      </c>
      <c r="B19" s="20">
        <v>1</v>
      </c>
      <c r="C19" s="21" t="s">
        <v>0</v>
      </c>
      <c r="D19" s="20">
        <v>0.43</v>
      </c>
      <c r="E19" s="36">
        <v>1</v>
      </c>
      <c r="H19" t="str">
        <f>TRIM(Таблиця1[[#This Row],[Абонент]])</f>
        <v>77010000003</v>
      </c>
      <c r="J19">
        <f t="shared" si="0"/>
        <v>77010000003</v>
      </c>
    </row>
    <row r="20" spans="1:10" x14ac:dyDescent="0.3">
      <c r="A20" s="42">
        <v>77010000042</v>
      </c>
      <c r="B20" s="20">
        <v>1</v>
      </c>
      <c r="C20" s="21" t="s">
        <v>2</v>
      </c>
      <c r="D20" s="20">
        <v>7.43</v>
      </c>
      <c r="E20" s="36">
        <v>1</v>
      </c>
      <c r="H20" t="str">
        <f>TRIM(Таблиця1[[#This Row],[Абонент]])</f>
        <v>77010000042</v>
      </c>
      <c r="J20" t="str">
        <f t="shared" si="0"/>
        <v/>
      </c>
    </row>
    <row r="21" spans="1:10" x14ac:dyDescent="0.3">
      <c r="A21" s="42">
        <v>77010000008</v>
      </c>
      <c r="B21" s="20">
        <v>1</v>
      </c>
      <c r="C21" s="21" t="s">
        <v>0</v>
      </c>
      <c r="D21" s="20">
        <v>0.43</v>
      </c>
      <c r="E21" s="36">
        <v>1</v>
      </c>
      <c r="H21" t="str">
        <f>TRIM(Таблиця1[[#This Row],[Абонент]])</f>
        <v>77010000008</v>
      </c>
      <c r="J21">
        <f t="shared" si="0"/>
        <v>77010000008</v>
      </c>
    </row>
    <row r="22" spans="1:10" x14ac:dyDescent="0.3">
      <c r="A22" s="42">
        <v>77010000014</v>
      </c>
      <c r="B22" s="20">
        <v>1</v>
      </c>
      <c r="C22" s="21" t="s">
        <v>0</v>
      </c>
      <c r="D22" s="20">
        <v>0.43</v>
      </c>
      <c r="E22" s="36">
        <v>1</v>
      </c>
      <c r="H22" t="str">
        <f>TRIM(Таблиця1[[#This Row],[Абонент]])</f>
        <v>77010000014</v>
      </c>
      <c r="J22">
        <f t="shared" si="0"/>
        <v>77010000014</v>
      </c>
    </row>
    <row r="23" spans="1:10" x14ac:dyDescent="0.3">
      <c r="A23" s="42">
        <v>77010000017</v>
      </c>
      <c r="B23" s="20">
        <v>1</v>
      </c>
      <c r="C23" s="21" t="s">
        <v>0</v>
      </c>
      <c r="D23" s="20">
        <v>0.43</v>
      </c>
      <c r="E23" s="36">
        <v>1</v>
      </c>
      <c r="H23" t="str">
        <f>TRIM(Таблиця1[[#This Row],[Абонент]])</f>
        <v>77010000017</v>
      </c>
      <c r="J23">
        <f t="shared" si="0"/>
        <v>77010000017</v>
      </c>
    </row>
    <row r="24" spans="1:10" x14ac:dyDescent="0.3">
      <c r="A24" s="42">
        <v>77010000040</v>
      </c>
      <c r="B24" s="20">
        <v>1</v>
      </c>
      <c r="C24" s="21" t="s">
        <v>0</v>
      </c>
      <c r="D24" s="20">
        <v>0.43</v>
      </c>
      <c r="E24" s="36">
        <v>1</v>
      </c>
      <c r="H24" t="str">
        <f>TRIM(Таблиця1[[#This Row],[Абонент]])</f>
        <v>77010000040</v>
      </c>
      <c r="J24">
        <f t="shared" si="0"/>
        <v>77010000040</v>
      </c>
    </row>
    <row r="25" spans="1:10" x14ac:dyDescent="0.3">
      <c r="A25" s="42">
        <v>77010000056</v>
      </c>
      <c r="B25" s="20">
        <v>1</v>
      </c>
      <c r="C25" s="21" t="s">
        <v>0</v>
      </c>
      <c r="D25" s="20">
        <v>0.43</v>
      </c>
      <c r="E25" s="36">
        <v>1</v>
      </c>
      <c r="H25" t="str">
        <f>TRIM(Таблиця1[[#This Row],[Абонент]])</f>
        <v>77010000056</v>
      </c>
      <c r="J25">
        <f t="shared" si="0"/>
        <v>77010000056</v>
      </c>
    </row>
    <row r="26" spans="1:10" x14ac:dyDescent="0.3">
      <c r="A26" s="42">
        <v>77010000061</v>
      </c>
      <c r="B26" s="20">
        <v>1</v>
      </c>
      <c r="C26" s="21" t="s">
        <v>0</v>
      </c>
      <c r="D26" s="20">
        <v>0.43</v>
      </c>
      <c r="E26" s="36">
        <v>1</v>
      </c>
      <c r="H26" t="str">
        <f>TRIM(Таблиця1[[#This Row],[Абонент]])</f>
        <v>77010000061</v>
      </c>
      <c r="J26">
        <f t="shared" si="0"/>
        <v>77010000061</v>
      </c>
    </row>
    <row r="27" spans="1:10" x14ac:dyDescent="0.3">
      <c r="A27" s="42">
        <v>77010000078</v>
      </c>
      <c r="B27" s="20">
        <v>1</v>
      </c>
      <c r="C27" s="21" t="s">
        <v>0</v>
      </c>
      <c r="D27" s="20">
        <v>0.43</v>
      </c>
      <c r="E27" s="36">
        <v>1</v>
      </c>
      <c r="H27" t="str">
        <f>TRIM(Таблиця1[[#This Row],[Абонент]])</f>
        <v>77010000078</v>
      </c>
      <c r="J27">
        <f t="shared" si="0"/>
        <v>77010000078</v>
      </c>
    </row>
    <row r="28" spans="1:10" x14ac:dyDescent="0.3">
      <c r="A28" s="42">
        <v>77010000005</v>
      </c>
      <c r="B28" s="20">
        <v>1</v>
      </c>
      <c r="C28" s="21" t="s">
        <v>0</v>
      </c>
      <c r="D28" s="20">
        <v>0.85</v>
      </c>
      <c r="E28" s="36">
        <v>2</v>
      </c>
      <c r="H28" t="str">
        <f>TRIM(Таблиця1[[#This Row],[Абонент]])</f>
        <v>77010000005</v>
      </c>
      <c r="J28">
        <f t="shared" si="0"/>
        <v>77010000005</v>
      </c>
    </row>
    <row r="29" spans="1:10" x14ac:dyDescent="0.3">
      <c r="A29" s="42">
        <v>77010000006</v>
      </c>
      <c r="B29" s="20">
        <v>1</v>
      </c>
      <c r="C29" s="21" t="s">
        <v>0</v>
      </c>
      <c r="D29" s="20">
        <v>0.85</v>
      </c>
      <c r="E29" s="36">
        <v>2</v>
      </c>
      <c r="H29" t="str">
        <f>TRIM(Таблиця1[[#This Row],[Абонент]])</f>
        <v>77010000006</v>
      </c>
      <c r="J29">
        <f t="shared" si="0"/>
        <v>77010000006</v>
      </c>
    </row>
    <row r="30" spans="1:10" x14ac:dyDescent="0.3">
      <c r="A30" s="42">
        <v>77010000051</v>
      </c>
      <c r="B30" s="20">
        <v>1</v>
      </c>
      <c r="C30" s="21" t="s">
        <v>1</v>
      </c>
      <c r="D30" s="20">
        <v>7.43</v>
      </c>
      <c r="E30" s="36">
        <v>2</v>
      </c>
      <c r="H30" t="str">
        <f>TRIM(Таблиця1[[#This Row],[Абонент]])</f>
        <v>77010000051</v>
      </c>
      <c r="J30" t="str">
        <f t="shared" si="0"/>
        <v/>
      </c>
    </row>
    <row r="31" spans="1:10" x14ac:dyDescent="0.3">
      <c r="A31" s="42">
        <v>77010000058</v>
      </c>
      <c r="B31" s="20">
        <v>1</v>
      </c>
      <c r="C31" s="21" t="s">
        <v>0</v>
      </c>
      <c r="D31" s="20">
        <v>0.85</v>
      </c>
      <c r="E31" s="36">
        <v>2</v>
      </c>
      <c r="H31" t="str">
        <f>TRIM(Таблиця1[[#This Row],[Абонент]])</f>
        <v>77010000058</v>
      </c>
      <c r="J31">
        <f t="shared" si="0"/>
        <v>77010000058</v>
      </c>
    </row>
    <row r="32" spans="1:10" x14ac:dyDescent="0.3">
      <c r="A32" s="42">
        <v>77010000070</v>
      </c>
      <c r="B32" s="20">
        <v>1</v>
      </c>
      <c r="C32" s="21" t="s">
        <v>0</v>
      </c>
      <c r="D32" s="20">
        <v>0.85</v>
      </c>
      <c r="E32" s="36">
        <v>2</v>
      </c>
      <c r="H32" t="str">
        <f>TRIM(Таблиця1[[#This Row],[Абонент]])</f>
        <v>77010000070</v>
      </c>
      <c r="J32">
        <f t="shared" si="0"/>
        <v>77010000070</v>
      </c>
    </row>
    <row r="33" spans="1:10" x14ac:dyDescent="0.3">
      <c r="A33" s="42">
        <v>77010000058</v>
      </c>
      <c r="B33" s="20">
        <v>1</v>
      </c>
      <c r="C33" s="21" t="s">
        <v>0</v>
      </c>
      <c r="D33" s="20">
        <v>0.85</v>
      </c>
      <c r="E33" s="36">
        <v>2</v>
      </c>
      <c r="H33" t="str">
        <f>TRIM(Таблиця1[[#This Row],[Абонент]])</f>
        <v>77010000058</v>
      </c>
      <c r="J33">
        <f t="shared" si="0"/>
        <v>77010000058</v>
      </c>
    </row>
    <row r="34" spans="1:10" x14ac:dyDescent="0.3">
      <c r="A34" s="42">
        <v>77010000064</v>
      </c>
      <c r="B34" s="20">
        <v>1</v>
      </c>
      <c r="C34" s="21" t="s">
        <v>0</v>
      </c>
      <c r="D34" s="20">
        <v>0.85</v>
      </c>
      <c r="E34" s="36">
        <v>2</v>
      </c>
      <c r="H34" t="str">
        <f>TRIM(Таблиця1[[#This Row],[Абонент]])</f>
        <v>77010000064</v>
      </c>
      <c r="J34">
        <f t="shared" si="0"/>
        <v>77010000064</v>
      </c>
    </row>
    <row r="35" spans="1:10" x14ac:dyDescent="0.3">
      <c r="A35" s="42">
        <v>77010000065</v>
      </c>
      <c r="B35" s="20">
        <v>1</v>
      </c>
      <c r="C35" s="21" t="s">
        <v>0</v>
      </c>
      <c r="D35" s="20">
        <v>0.85</v>
      </c>
      <c r="E35" s="36">
        <v>2</v>
      </c>
      <c r="H35" t="str">
        <f>TRIM(Таблиця1[[#This Row],[Абонент]])</f>
        <v>77010000065</v>
      </c>
      <c r="J35">
        <f t="shared" si="0"/>
        <v>77010000065</v>
      </c>
    </row>
    <row r="36" spans="1:10" x14ac:dyDescent="0.3">
      <c r="A36" s="42">
        <v>77010000037</v>
      </c>
      <c r="B36" s="20">
        <v>1</v>
      </c>
      <c r="C36" s="21" t="s">
        <v>2</v>
      </c>
      <c r="D36" s="20">
        <v>7.43</v>
      </c>
      <c r="E36" s="36">
        <v>2</v>
      </c>
      <c r="H36" t="str">
        <f>TRIM(Таблиця1[[#This Row],[Абонент]])</f>
        <v>77010000037</v>
      </c>
      <c r="J36" t="str">
        <f t="shared" si="0"/>
        <v/>
      </c>
    </row>
    <row r="37" spans="1:10" x14ac:dyDescent="0.3">
      <c r="A37" s="42">
        <v>77010000078</v>
      </c>
      <c r="B37" s="20">
        <v>1</v>
      </c>
      <c r="C37" s="21" t="s">
        <v>0</v>
      </c>
      <c r="D37" s="20">
        <v>0.85</v>
      </c>
      <c r="E37" s="36">
        <v>2</v>
      </c>
      <c r="H37" t="str">
        <f>TRIM(Таблиця1[[#This Row],[Абонент]])</f>
        <v>77010000078</v>
      </c>
      <c r="J37">
        <f t="shared" si="0"/>
        <v>77010000078</v>
      </c>
    </row>
    <row r="38" spans="1:10" x14ac:dyDescent="0.3">
      <c r="A38" s="42">
        <v>77010000086</v>
      </c>
      <c r="B38" s="20">
        <v>1</v>
      </c>
      <c r="C38" s="21" t="s">
        <v>0</v>
      </c>
      <c r="D38" s="20">
        <v>0.85</v>
      </c>
      <c r="E38" s="36">
        <v>2</v>
      </c>
      <c r="H38" t="str">
        <f>TRIM(Таблиця1[[#This Row],[Абонент]])</f>
        <v>77010000086</v>
      </c>
      <c r="J38">
        <f t="shared" si="0"/>
        <v>77010000086</v>
      </c>
    </row>
    <row r="39" spans="1:10" x14ac:dyDescent="0.3">
      <c r="A39" s="42">
        <v>77010000092</v>
      </c>
      <c r="B39" s="20">
        <v>1</v>
      </c>
      <c r="C39" s="21" t="s">
        <v>0</v>
      </c>
      <c r="D39" s="20">
        <v>0.85</v>
      </c>
      <c r="E39" s="36">
        <v>2</v>
      </c>
      <c r="H39" t="str">
        <f>TRIM(Таблиця1[[#This Row],[Абонент]])</f>
        <v>77010000092</v>
      </c>
      <c r="J39">
        <f t="shared" si="0"/>
        <v>77010000092</v>
      </c>
    </row>
    <row r="40" spans="1:10" x14ac:dyDescent="0.3">
      <c r="A40" s="42">
        <v>77010000095</v>
      </c>
      <c r="B40" s="20">
        <v>1</v>
      </c>
      <c r="C40" s="21" t="s">
        <v>0</v>
      </c>
      <c r="D40" s="20">
        <v>0.85</v>
      </c>
      <c r="E40" s="36">
        <v>2</v>
      </c>
      <c r="H40" t="str">
        <f>TRIM(Таблиця1[[#This Row],[Абонент]])</f>
        <v>77010000095</v>
      </c>
      <c r="J40">
        <f t="shared" si="0"/>
        <v>77010000095</v>
      </c>
    </row>
    <row r="41" spans="1:10" x14ac:dyDescent="0.3">
      <c r="A41" s="42">
        <v>77010000001</v>
      </c>
      <c r="B41" s="20">
        <v>1</v>
      </c>
      <c r="C41" s="21" t="s">
        <v>0</v>
      </c>
      <c r="D41" s="20">
        <v>0.85</v>
      </c>
      <c r="E41" s="36">
        <v>2</v>
      </c>
      <c r="H41" t="str">
        <f>TRIM(Таблиця1[[#This Row],[Абонент]])</f>
        <v>77010000001</v>
      </c>
      <c r="J41">
        <f t="shared" si="0"/>
        <v>77010000001</v>
      </c>
    </row>
    <row r="42" spans="1:10" x14ac:dyDescent="0.3">
      <c r="A42" s="42">
        <v>77010000009</v>
      </c>
      <c r="B42" s="20">
        <v>1</v>
      </c>
      <c r="C42" s="21" t="s">
        <v>0</v>
      </c>
      <c r="D42" s="20">
        <v>0.85</v>
      </c>
      <c r="E42" s="36">
        <v>2</v>
      </c>
      <c r="H42" t="str">
        <f>TRIM(Таблиця1[[#This Row],[Абонент]])</f>
        <v>77010000009</v>
      </c>
      <c r="J42">
        <f t="shared" si="0"/>
        <v>77010000009</v>
      </c>
    </row>
    <row r="43" spans="1:10" x14ac:dyDescent="0.3">
      <c r="A43" s="42">
        <v>77010000010</v>
      </c>
      <c r="B43" s="20">
        <v>1</v>
      </c>
      <c r="C43" s="21" t="s">
        <v>0</v>
      </c>
      <c r="D43" s="20">
        <v>0.85</v>
      </c>
      <c r="E43" s="36">
        <v>2</v>
      </c>
      <c r="H43" t="str">
        <f>TRIM(Таблиця1[[#This Row],[Абонент]])</f>
        <v>77010000010</v>
      </c>
      <c r="J43">
        <f t="shared" si="0"/>
        <v>77010000010</v>
      </c>
    </row>
    <row r="44" spans="1:10" x14ac:dyDescent="0.3">
      <c r="A44" s="42">
        <v>77010000016</v>
      </c>
      <c r="B44" s="20">
        <v>1</v>
      </c>
      <c r="C44" s="21" t="s">
        <v>0</v>
      </c>
      <c r="D44" s="20">
        <v>0.85</v>
      </c>
      <c r="E44" s="36">
        <v>2</v>
      </c>
      <c r="H44" t="str">
        <f>TRIM(Таблиця1[[#This Row],[Абонент]])</f>
        <v>77010000016</v>
      </c>
      <c r="J44">
        <f t="shared" si="0"/>
        <v>77010000016</v>
      </c>
    </row>
    <row r="45" spans="1:10" x14ac:dyDescent="0.3">
      <c r="A45" s="42">
        <v>77010000081</v>
      </c>
      <c r="B45" s="20">
        <v>1</v>
      </c>
      <c r="C45" s="21" t="s">
        <v>0</v>
      </c>
      <c r="D45" s="20">
        <v>0.85</v>
      </c>
      <c r="E45" s="36">
        <v>2</v>
      </c>
      <c r="H45" t="str">
        <f>TRIM(Таблиця1[[#This Row],[Абонент]])</f>
        <v>77010000081</v>
      </c>
      <c r="J45">
        <f t="shared" si="0"/>
        <v>77010000081</v>
      </c>
    </row>
    <row r="46" spans="1:10" x14ac:dyDescent="0.3">
      <c r="A46" s="42">
        <v>77010000067</v>
      </c>
      <c r="B46" s="20">
        <v>1</v>
      </c>
      <c r="C46" s="21" t="s">
        <v>0</v>
      </c>
      <c r="D46" s="20">
        <v>1.28</v>
      </c>
      <c r="E46" s="36">
        <v>3</v>
      </c>
      <c r="H46" t="str">
        <f>TRIM(Таблиця1[[#This Row],[Абонент]])</f>
        <v>77010000067</v>
      </c>
      <c r="J46">
        <f t="shared" si="0"/>
        <v>77010000067</v>
      </c>
    </row>
    <row r="47" spans="1:10" x14ac:dyDescent="0.3">
      <c r="A47" s="42">
        <v>77010000075</v>
      </c>
      <c r="B47" s="20">
        <v>1</v>
      </c>
      <c r="C47" s="21" t="s">
        <v>0</v>
      </c>
      <c r="D47" s="20">
        <v>1.28</v>
      </c>
      <c r="E47" s="36">
        <v>3</v>
      </c>
      <c r="H47" t="str">
        <f>TRIM(Таблиця1[[#This Row],[Абонент]])</f>
        <v>77010000075</v>
      </c>
      <c r="J47">
        <f t="shared" si="0"/>
        <v>77010000075</v>
      </c>
    </row>
    <row r="48" spans="1:10" x14ac:dyDescent="0.3">
      <c r="A48" s="42">
        <v>77010000088</v>
      </c>
      <c r="B48" s="20">
        <v>1</v>
      </c>
      <c r="C48" s="21" t="s">
        <v>0</v>
      </c>
      <c r="D48" s="20">
        <v>1.28</v>
      </c>
      <c r="E48" s="36">
        <v>3</v>
      </c>
      <c r="H48" t="str">
        <f>TRIM(Таблиця1[[#This Row],[Абонент]])</f>
        <v>77010000088</v>
      </c>
      <c r="J48">
        <f t="shared" si="0"/>
        <v>77010000088</v>
      </c>
    </row>
    <row r="49" spans="1:10" x14ac:dyDescent="0.3">
      <c r="A49" s="42">
        <v>77010000002</v>
      </c>
      <c r="B49" s="20">
        <v>1</v>
      </c>
      <c r="C49" s="21" t="s">
        <v>0</v>
      </c>
      <c r="D49" s="20">
        <v>1.28</v>
      </c>
      <c r="E49" s="36">
        <v>3</v>
      </c>
      <c r="H49" t="str">
        <f>TRIM(Таблиця1[[#This Row],[Абонент]])</f>
        <v>77010000002</v>
      </c>
      <c r="J49">
        <f t="shared" si="0"/>
        <v>77010000002</v>
      </c>
    </row>
    <row r="50" spans="1:10" x14ac:dyDescent="0.3">
      <c r="A50" s="42">
        <v>77010000049</v>
      </c>
      <c r="B50" s="20">
        <v>1</v>
      </c>
      <c r="C50" s="21" t="s">
        <v>0</v>
      </c>
      <c r="D50" s="20">
        <v>1.28</v>
      </c>
      <c r="E50" s="36">
        <v>3</v>
      </c>
      <c r="H50" t="str">
        <f>TRIM(Таблиця1[[#This Row],[Абонент]])</f>
        <v>77010000049</v>
      </c>
      <c r="J50">
        <f t="shared" si="0"/>
        <v>77010000049</v>
      </c>
    </row>
    <row r="51" spans="1:10" x14ac:dyDescent="0.3">
      <c r="A51" s="42">
        <v>77010000079</v>
      </c>
      <c r="B51" s="20">
        <v>1</v>
      </c>
      <c r="C51" s="21" t="s">
        <v>0</v>
      </c>
      <c r="D51" s="20">
        <v>1.28</v>
      </c>
      <c r="E51" s="36">
        <v>3</v>
      </c>
      <c r="H51" t="str">
        <f>TRIM(Таблиця1[[#This Row],[Абонент]])</f>
        <v>77010000079</v>
      </c>
      <c r="J51">
        <f t="shared" si="0"/>
        <v>77010000079</v>
      </c>
    </row>
    <row r="52" spans="1:10" x14ac:dyDescent="0.3">
      <c r="A52" s="42">
        <v>77010000002</v>
      </c>
      <c r="B52" s="20">
        <v>1</v>
      </c>
      <c r="C52" s="21" t="s">
        <v>0</v>
      </c>
      <c r="D52" s="20">
        <v>1.7</v>
      </c>
      <c r="E52" s="36">
        <v>4</v>
      </c>
      <c r="H52" t="str">
        <f>TRIM(Таблиця1[[#This Row],[Абонент]])</f>
        <v>77010000002</v>
      </c>
      <c r="J52">
        <f t="shared" si="0"/>
        <v>77010000002</v>
      </c>
    </row>
    <row r="53" spans="1:10" x14ac:dyDescent="0.3">
      <c r="A53" s="42">
        <v>77010000048</v>
      </c>
      <c r="B53" s="20">
        <v>1</v>
      </c>
      <c r="C53" s="21" t="s">
        <v>0</v>
      </c>
      <c r="D53" s="20">
        <v>1.7</v>
      </c>
      <c r="E53" s="36">
        <v>4</v>
      </c>
      <c r="H53" t="str">
        <f>TRIM(Таблиця1[[#This Row],[Абонент]])</f>
        <v>77010000048</v>
      </c>
      <c r="J53">
        <f t="shared" si="0"/>
        <v>77010000048</v>
      </c>
    </row>
    <row r="54" spans="1:10" x14ac:dyDescent="0.3">
      <c r="A54" s="42">
        <v>77010000064</v>
      </c>
      <c r="B54" s="20">
        <v>1</v>
      </c>
      <c r="C54" s="21" t="s">
        <v>0</v>
      </c>
      <c r="D54" s="20">
        <v>1.7</v>
      </c>
      <c r="E54" s="36">
        <v>4</v>
      </c>
      <c r="H54" t="str">
        <f>TRIM(Таблиця1[[#This Row],[Абонент]])</f>
        <v>77010000064</v>
      </c>
      <c r="J54">
        <f t="shared" si="0"/>
        <v>77010000064</v>
      </c>
    </row>
    <row r="55" spans="1:10" x14ac:dyDescent="0.3">
      <c r="A55" s="42">
        <v>77010000061</v>
      </c>
      <c r="B55" s="20">
        <v>1</v>
      </c>
      <c r="C55" s="21" t="s">
        <v>0</v>
      </c>
      <c r="D55" s="20">
        <v>1.7</v>
      </c>
      <c r="E55" s="36">
        <v>4</v>
      </c>
      <c r="H55" t="str">
        <f>TRIM(Таблиця1[[#This Row],[Абонент]])</f>
        <v>77010000061</v>
      </c>
      <c r="J55">
        <f t="shared" si="0"/>
        <v>77010000061</v>
      </c>
    </row>
    <row r="56" spans="1:10" x14ac:dyDescent="0.3">
      <c r="A56" s="42">
        <v>77010000054</v>
      </c>
      <c r="B56" s="20">
        <v>1</v>
      </c>
      <c r="C56" s="21" t="s">
        <v>1</v>
      </c>
      <c r="D56" s="20">
        <v>7.43</v>
      </c>
      <c r="E56" s="36">
        <v>4</v>
      </c>
      <c r="H56" t="str">
        <f>TRIM(Таблиця1[[#This Row],[Абонент]])</f>
        <v>77010000054</v>
      </c>
      <c r="J56" t="str">
        <f t="shared" si="0"/>
        <v/>
      </c>
    </row>
    <row r="57" spans="1:10" x14ac:dyDescent="0.3">
      <c r="A57" s="42">
        <v>77010000057</v>
      </c>
      <c r="B57" s="20">
        <v>1</v>
      </c>
      <c r="C57" s="21" t="s">
        <v>0</v>
      </c>
      <c r="D57" s="20">
        <v>1.7</v>
      </c>
      <c r="E57" s="36">
        <v>4</v>
      </c>
      <c r="H57" t="str">
        <f>TRIM(Таблиця1[[#This Row],[Абонент]])</f>
        <v>77010000057</v>
      </c>
      <c r="J57">
        <f t="shared" si="0"/>
        <v>77010000057</v>
      </c>
    </row>
    <row r="58" spans="1:10" x14ac:dyDescent="0.3">
      <c r="A58" s="42">
        <v>77010000084</v>
      </c>
      <c r="B58" s="20">
        <v>1</v>
      </c>
      <c r="C58" s="21" t="s">
        <v>1</v>
      </c>
      <c r="D58" s="20">
        <v>7.43</v>
      </c>
      <c r="E58" s="36">
        <v>4</v>
      </c>
      <c r="H58" t="str">
        <f>TRIM(Таблиця1[[#This Row],[Абонент]])</f>
        <v>77010000084</v>
      </c>
      <c r="J58" t="str">
        <f t="shared" si="0"/>
        <v/>
      </c>
    </row>
    <row r="59" spans="1:10" x14ac:dyDescent="0.3">
      <c r="A59" s="42">
        <v>77010000004</v>
      </c>
      <c r="B59" s="20">
        <v>1</v>
      </c>
      <c r="C59" s="21" t="s">
        <v>0</v>
      </c>
      <c r="D59" s="20">
        <v>1.7</v>
      </c>
      <c r="E59" s="36">
        <v>4</v>
      </c>
      <c r="H59" t="str">
        <f>TRIM(Таблиця1[[#This Row],[Абонент]])</f>
        <v>77010000004</v>
      </c>
      <c r="J59">
        <f t="shared" si="0"/>
        <v>77010000004</v>
      </c>
    </row>
    <row r="60" spans="1:10" x14ac:dyDescent="0.3">
      <c r="A60" s="42">
        <v>77010000005</v>
      </c>
      <c r="B60" s="20">
        <v>1</v>
      </c>
      <c r="C60" s="21" t="s">
        <v>0</v>
      </c>
      <c r="D60" s="20">
        <v>1.7</v>
      </c>
      <c r="E60" s="36">
        <v>4</v>
      </c>
      <c r="H60" t="str">
        <f>TRIM(Таблиця1[[#This Row],[Абонент]])</f>
        <v>77010000005</v>
      </c>
      <c r="J60">
        <f t="shared" si="0"/>
        <v>77010000005</v>
      </c>
    </row>
    <row r="61" spans="1:10" x14ac:dyDescent="0.3">
      <c r="A61" s="42">
        <v>77010000007</v>
      </c>
      <c r="B61" s="20">
        <v>1</v>
      </c>
      <c r="C61" s="21" t="s">
        <v>0</v>
      </c>
      <c r="D61" s="20">
        <v>1.7</v>
      </c>
      <c r="E61" s="36">
        <v>4</v>
      </c>
      <c r="H61" t="str">
        <f>TRIM(Таблиця1[[#This Row],[Абонент]])</f>
        <v>77010000007</v>
      </c>
      <c r="J61">
        <f t="shared" si="0"/>
        <v>77010000007</v>
      </c>
    </row>
    <row r="62" spans="1:10" x14ac:dyDescent="0.3">
      <c r="A62" s="42">
        <v>77010000052</v>
      </c>
      <c r="B62" s="20">
        <v>1</v>
      </c>
      <c r="C62" s="21" t="s">
        <v>0</v>
      </c>
      <c r="D62" s="20">
        <v>1.7</v>
      </c>
      <c r="E62" s="36">
        <v>4</v>
      </c>
      <c r="H62" t="str">
        <f>TRIM(Таблиця1[[#This Row],[Абонент]])</f>
        <v>77010000052</v>
      </c>
      <c r="J62">
        <f t="shared" si="0"/>
        <v>77010000052</v>
      </c>
    </row>
    <row r="63" spans="1:10" x14ac:dyDescent="0.3">
      <c r="A63" s="42">
        <v>77010000062</v>
      </c>
      <c r="B63" s="20">
        <v>1</v>
      </c>
      <c r="C63" s="21" t="s">
        <v>1</v>
      </c>
      <c r="D63" s="20">
        <v>7.43</v>
      </c>
      <c r="E63" s="36">
        <v>5</v>
      </c>
      <c r="H63" t="str">
        <f>TRIM(Таблиця1[[#This Row],[Абонент]])</f>
        <v>77010000062</v>
      </c>
      <c r="J63" t="str">
        <f t="shared" si="0"/>
        <v/>
      </c>
    </row>
    <row r="64" spans="1:10" x14ac:dyDescent="0.3">
      <c r="A64" s="42">
        <v>77010000048</v>
      </c>
      <c r="B64" s="20">
        <v>1</v>
      </c>
      <c r="C64" s="21" t="s">
        <v>0</v>
      </c>
      <c r="D64" s="20">
        <v>2.13</v>
      </c>
      <c r="E64" s="36">
        <v>5</v>
      </c>
      <c r="H64" t="str">
        <f>TRIM(Таблиця1[[#This Row],[Абонент]])</f>
        <v>77010000048</v>
      </c>
      <c r="J64">
        <f t="shared" si="0"/>
        <v>77010000048</v>
      </c>
    </row>
    <row r="65" spans="1:10" x14ac:dyDescent="0.3">
      <c r="A65" s="42">
        <v>77010000067</v>
      </c>
      <c r="B65" s="20">
        <v>1</v>
      </c>
      <c r="C65" s="21" t="s">
        <v>0</v>
      </c>
      <c r="D65" s="20">
        <v>2.13</v>
      </c>
      <c r="E65" s="36">
        <v>5</v>
      </c>
      <c r="H65" t="str">
        <f>TRIM(Таблиця1[[#This Row],[Абонент]])</f>
        <v>77010000067</v>
      </c>
      <c r="J65">
        <f t="shared" si="0"/>
        <v>77010000067</v>
      </c>
    </row>
    <row r="66" spans="1:10" x14ac:dyDescent="0.3">
      <c r="A66" s="42">
        <v>77010000089</v>
      </c>
      <c r="B66" s="20">
        <v>1</v>
      </c>
      <c r="C66" s="21" t="s">
        <v>0</v>
      </c>
      <c r="D66" s="20">
        <v>2.13</v>
      </c>
      <c r="E66" s="36">
        <v>5</v>
      </c>
      <c r="H66" t="str">
        <f>TRIM(Таблиця1[[#This Row],[Абонент]])</f>
        <v>77010000089</v>
      </c>
      <c r="J66">
        <f t="shared" si="0"/>
        <v>77010000089</v>
      </c>
    </row>
    <row r="67" spans="1:10" x14ac:dyDescent="0.3">
      <c r="A67" s="42">
        <v>77010000093</v>
      </c>
      <c r="B67" s="20">
        <v>1</v>
      </c>
      <c r="C67" s="21" t="s">
        <v>0</v>
      </c>
      <c r="D67" s="20">
        <v>2.13</v>
      </c>
      <c r="E67" s="36">
        <v>5</v>
      </c>
      <c r="H67" t="str">
        <f>TRIM(Таблиця1[[#This Row],[Абонент]])</f>
        <v>77010000093</v>
      </c>
      <c r="J67">
        <f t="shared" ref="J67:J130" si="1">IF(C67="Внутри сети",A67,"")</f>
        <v>77010000093</v>
      </c>
    </row>
    <row r="68" spans="1:10" x14ac:dyDescent="0.3">
      <c r="A68" s="42">
        <v>77010000018</v>
      </c>
      <c r="B68" s="20">
        <v>1</v>
      </c>
      <c r="C68" s="21" t="s">
        <v>0</v>
      </c>
      <c r="D68" s="20">
        <v>2.13</v>
      </c>
      <c r="E68" s="36">
        <v>5</v>
      </c>
      <c r="H68" t="str">
        <f>TRIM(Таблиця1[[#This Row],[Абонент]])</f>
        <v>77010000018</v>
      </c>
      <c r="J68">
        <f t="shared" si="1"/>
        <v>77010000018</v>
      </c>
    </row>
    <row r="69" spans="1:10" x14ac:dyDescent="0.3">
      <c r="A69" s="42">
        <v>77010000048</v>
      </c>
      <c r="B69" s="20">
        <v>1</v>
      </c>
      <c r="C69" s="21" t="s">
        <v>0</v>
      </c>
      <c r="D69" s="20">
        <v>2.13</v>
      </c>
      <c r="E69" s="36">
        <v>5</v>
      </c>
      <c r="H69" t="str">
        <f>TRIM(Таблиця1[[#This Row],[Абонент]])</f>
        <v>77010000048</v>
      </c>
      <c r="J69">
        <f t="shared" si="1"/>
        <v>77010000048</v>
      </c>
    </row>
    <row r="70" spans="1:10" x14ac:dyDescent="0.3">
      <c r="A70" s="42">
        <v>77010000073</v>
      </c>
      <c r="B70" s="20">
        <v>1</v>
      </c>
      <c r="C70" s="21" t="s">
        <v>2</v>
      </c>
      <c r="D70" s="20">
        <v>7.43</v>
      </c>
      <c r="E70" s="36">
        <v>5</v>
      </c>
      <c r="H70" t="str">
        <f>TRIM(Таблиця1[[#This Row],[Абонент]])</f>
        <v>77010000073</v>
      </c>
      <c r="J70" t="str">
        <f t="shared" si="1"/>
        <v/>
      </c>
    </row>
    <row r="71" spans="1:10" x14ac:dyDescent="0.3">
      <c r="A71" s="42">
        <v>77010000056</v>
      </c>
      <c r="B71" s="20">
        <v>1</v>
      </c>
      <c r="C71" s="21" t="s">
        <v>1</v>
      </c>
      <c r="D71" s="20">
        <v>7.43</v>
      </c>
      <c r="E71" s="36">
        <v>6</v>
      </c>
      <c r="H71" t="str">
        <f>TRIM(Таблиця1[[#This Row],[Абонент]])</f>
        <v>77010000056</v>
      </c>
      <c r="J71" t="str">
        <f t="shared" si="1"/>
        <v/>
      </c>
    </row>
    <row r="72" spans="1:10" x14ac:dyDescent="0.3">
      <c r="A72" s="42">
        <v>77010000057</v>
      </c>
      <c r="B72" s="20">
        <v>1</v>
      </c>
      <c r="C72" s="21" t="s">
        <v>0</v>
      </c>
      <c r="D72" s="20">
        <v>2.56</v>
      </c>
      <c r="E72" s="36">
        <v>6</v>
      </c>
      <c r="H72" t="str">
        <f>TRIM(Таблиця1[[#This Row],[Абонент]])</f>
        <v>77010000057</v>
      </c>
      <c r="J72">
        <f t="shared" si="1"/>
        <v>77010000057</v>
      </c>
    </row>
    <row r="73" spans="1:10" x14ac:dyDescent="0.3">
      <c r="A73" s="42">
        <v>77010000046</v>
      </c>
      <c r="B73" s="20">
        <v>1</v>
      </c>
      <c r="C73" s="21" t="s">
        <v>0</v>
      </c>
      <c r="D73" s="20">
        <v>2.56</v>
      </c>
      <c r="E73" s="36">
        <v>6</v>
      </c>
      <c r="H73" t="str">
        <f>TRIM(Таблиця1[[#This Row],[Абонент]])</f>
        <v>77010000046</v>
      </c>
      <c r="J73">
        <f t="shared" si="1"/>
        <v>77010000046</v>
      </c>
    </row>
    <row r="74" spans="1:10" x14ac:dyDescent="0.3">
      <c r="A74" s="42">
        <v>77010000053</v>
      </c>
      <c r="B74" s="20">
        <v>1</v>
      </c>
      <c r="C74" s="21" t="s">
        <v>3</v>
      </c>
      <c r="D74" s="20">
        <v>24.5</v>
      </c>
      <c r="E74" s="36">
        <v>6</v>
      </c>
      <c r="H74" t="str">
        <f>TRIM(Таблиця1[[#This Row],[Абонент]])</f>
        <v>77010000053</v>
      </c>
      <c r="J74" t="str">
        <f t="shared" si="1"/>
        <v/>
      </c>
    </row>
    <row r="75" spans="1:10" x14ac:dyDescent="0.3">
      <c r="A75" s="42">
        <v>77010000093</v>
      </c>
      <c r="B75" s="20">
        <v>1</v>
      </c>
      <c r="C75" s="21" t="s">
        <v>0</v>
      </c>
      <c r="D75" s="20">
        <v>2.56</v>
      </c>
      <c r="E75" s="36">
        <v>6</v>
      </c>
      <c r="H75" t="str">
        <f>TRIM(Таблиця1[[#This Row],[Абонент]])</f>
        <v>77010000093</v>
      </c>
      <c r="J75">
        <f t="shared" si="1"/>
        <v>77010000093</v>
      </c>
    </row>
    <row r="76" spans="1:10" x14ac:dyDescent="0.3">
      <c r="A76" s="42">
        <v>77010000085</v>
      </c>
      <c r="B76" s="20">
        <v>1</v>
      </c>
      <c r="C76" s="21" t="s">
        <v>0</v>
      </c>
      <c r="D76" s="20">
        <v>0.83</v>
      </c>
      <c r="E76" s="36">
        <v>6</v>
      </c>
      <c r="H76" t="str">
        <f>TRIM(Таблиця1[[#This Row],[Абонент]])</f>
        <v>77010000085</v>
      </c>
      <c r="J76">
        <f t="shared" si="1"/>
        <v>77010000085</v>
      </c>
    </row>
    <row r="77" spans="1:10" x14ac:dyDescent="0.3">
      <c r="A77" s="42">
        <v>77010000033</v>
      </c>
      <c r="B77" s="20">
        <v>1</v>
      </c>
      <c r="C77" s="21" t="s">
        <v>0</v>
      </c>
      <c r="D77" s="20">
        <v>2.56</v>
      </c>
      <c r="E77" s="36">
        <v>6</v>
      </c>
      <c r="H77" t="str">
        <f>TRIM(Таблиця1[[#This Row],[Абонент]])</f>
        <v>77010000033</v>
      </c>
      <c r="J77">
        <f t="shared" si="1"/>
        <v>77010000033</v>
      </c>
    </row>
    <row r="78" spans="1:10" x14ac:dyDescent="0.3">
      <c r="A78" s="42">
        <v>77010000049</v>
      </c>
      <c r="B78" s="20">
        <v>1</v>
      </c>
      <c r="C78" s="21" t="s">
        <v>0</v>
      </c>
      <c r="D78" s="20">
        <v>2.98</v>
      </c>
      <c r="E78" s="36">
        <v>7</v>
      </c>
      <c r="H78" t="str">
        <f>TRIM(Таблиця1[[#This Row],[Абонент]])</f>
        <v>77010000049</v>
      </c>
      <c r="J78">
        <f t="shared" si="1"/>
        <v>77010000049</v>
      </c>
    </row>
    <row r="79" spans="1:10" x14ac:dyDescent="0.3">
      <c r="A79" s="42">
        <v>77010000073</v>
      </c>
      <c r="B79" s="20">
        <v>1</v>
      </c>
      <c r="C79" s="21" t="s">
        <v>0</v>
      </c>
      <c r="D79" s="20">
        <v>2.98</v>
      </c>
      <c r="E79" s="36">
        <v>7</v>
      </c>
      <c r="H79" t="str">
        <f>TRIM(Таблиця1[[#This Row],[Абонент]])</f>
        <v>77010000073</v>
      </c>
      <c r="J79">
        <f t="shared" si="1"/>
        <v>77010000073</v>
      </c>
    </row>
    <row r="80" spans="1:10" x14ac:dyDescent="0.3">
      <c r="A80" s="42">
        <v>77010000014</v>
      </c>
      <c r="B80" s="20">
        <v>1</v>
      </c>
      <c r="C80" s="21" t="s">
        <v>0</v>
      </c>
      <c r="D80" s="20">
        <v>2.98</v>
      </c>
      <c r="E80" s="36">
        <v>7</v>
      </c>
      <c r="H80" t="str">
        <f>TRIM(Таблиця1[[#This Row],[Абонент]])</f>
        <v>77010000014</v>
      </c>
      <c r="J80">
        <f t="shared" si="1"/>
        <v>77010000014</v>
      </c>
    </row>
    <row r="81" spans="1:10" x14ac:dyDescent="0.3">
      <c r="A81" s="42">
        <v>77010000006</v>
      </c>
      <c r="B81" s="20">
        <v>1</v>
      </c>
      <c r="C81" s="21" t="s">
        <v>0</v>
      </c>
      <c r="D81" s="20">
        <v>0</v>
      </c>
      <c r="E81" s="36">
        <v>7</v>
      </c>
      <c r="H81" t="str">
        <f>TRIM(Таблиця1[[#This Row],[Абонент]])</f>
        <v>77010000006</v>
      </c>
      <c r="J81">
        <f t="shared" si="1"/>
        <v>77010000006</v>
      </c>
    </row>
    <row r="82" spans="1:10" x14ac:dyDescent="0.3">
      <c r="A82" s="42">
        <v>77010000031</v>
      </c>
      <c r="B82" s="20">
        <v>1</v>
      </c>
      <c r="C82" s="21" t="s">
        <v>0</v>
      </c>
      <c r="D82" s="20">
        <v>2.98</v>
      </c>
      <c r="E82" s="36">
        <v>7</v>
      </c>
      <c r="H82" t="str">
        <f>TRIM(Таблиця1[[#This Row],[Абонент]])</f>
        <v>77010000031</v>
      </c>
      <c r="J82">
        <f t="shared" si="1"/>
        <v>77010000031</v>
      </c>
    </row>
    <row r="83" spans="1:10" x14ac:dyDescent="0.3">
      <c r="A83" s="42">
        <v>77010000042</v>
      </c>
      <c r="B83" s="20">
        <v>1</v>
      </c>
      <c r="C83" s="21" t="s">
        <v>0</v>
      </c>
      <c r="D83" s="20">
        <v>2.98</v>
      </c>
      <c r="E83" s="36">
        <v>7</v>
      </c>
      <c r="H83" t="str">
        <f>TRIM(Таблиця1[[#This Row],[Абонент]])</f>
        <v>77010000042</v>
      </c>
      <c r="J83">
        <f t="shared" si="1"/>
        <v>77010000042</v>
      </c>
    </row>
    <row r="84" spans="1:10" x14ac:dyDescent="0.3">
      <c r="A84" s="42">
        <v>77010000079</v>
      </c>
      <c r="B84" s="20">
        <v>1</v>
      </c>
      <c r="C84" s="21" t="s">
        <v>0</v>
      </c>
      <c r="D84" s="20">
        <v>2.98</v>
      </c>
      <c r="E84" s="36">
        <v>7</v>
      </c>
      <c r="H84" t="str">
        <f>TRIM(Таблиця1[[#This Row],[Абонент]])</f>
        <v>77010000079</v>
      </c>
      <c r="J84">
        <f t="shared" si="1"/>
        <v>77010000079</v>
      </c>
    </row>
    <row r="85" spans="1:10" x14ac:dyDescent="0.3">
      <c r="A85" s="42">
        <v>77010000007</v>
      </c>
      <c r="B85" s="20">
        <v>1</v>
      </c>
      <c r="C85" s="21" t="s">
        <v>0</v>
      </c>
      <c r="D85" s="20">
        <v>3.41</v>
      </c>
      <c r="E85" s="36">
        <v>8</v>
      </c>
      <c r="H85" t="str">
        <f>TRIM(Таблиця1[[#This Row],[Абонент]])</f>
        <v>77010000007</v>
      </c>
      <c r="J85">
        <f t="shared" si="1"/>
        <v>77010000007</v>
      </c>
    </row>
    <row r="86" spans="1:10" x14ac:dyDescent="0.3">
      <c r="A86" s="42">
        <v>77010000050</v>
      </c>
      <c r="B86" s="20">
        <v>1</v>
      </c>
      <c r="C86" s="21" t="s">
        <v>0</v>
      </c>
      <c r="D86" s="20">
        <v>3.41</v>
      </c>
      <c r="E86" s="36">
        <v>8</v>
      </c>
      <c r="H86" t="str">
        <f>TRIM(Таблиця1[[#This Row],[Абонент]])</f>
        <v>77010000050</v>
      </c>
      <c r="J86">
        <f t="shared" si="1"/>
        <v>77010000050</v>
      </c>
    </row>
    <row r="87" spans="1:10" x14ac:dyDescent="0.3">
      <c r="A87" s="42">
        <v>77010000054</v>
      </c>
      <c r="B87" s="20">
        <v>1</v>
      </c>
      <c r="C87" s="21" t="s">
        <v>1</v>
      </c>
      <c r="D87" s="20">
        <v>7.43</v>
      </c>
      <c r="E87" s="36">
        <v>8</v>
      </c>
      <c r="H87" t="str">
        <f>TRIM(Таблиця1[[#This Row],[Абонент]])</f>
        <v>77010000054</v>
      </c>
      <c r="J87" t="str">
        <f t="shared" si="1"/>
        <v/>
      </c>
    </row>
    <row r="88" spans="1:10" x14ac:dyDescent="0.3">
      <c r="A88" s="42">
        <v>77010000055</v>
      </c>
      <c r="B88" s="20">
        <v>1</v>
      </c>
      <c r="C88" s="21" t="s">
        <v>0</v>
      </c>
      <c r="D88" s="20">
        <v>3.41</v>
      </c>
      <c r="E88" s="36">
        <v>8</v>
      </c>
      <c r="H88" t="str">
        <f>TRIM(Таблиця1[[#This Row],[Абонент]])</f>
        <v>77010000055</v>
      </c>
      <c r="J88">
        <f t="shared" si="1"/>
        <v>77010000055</v>
      </c>
    </row>
    <row r="89" spans="1:10" x14ac:dyDescent="0.3">
      <c r="A89" s="42">
        <v>77010000057</v>
      </c>
      <c r="B89" s="20">
        <v>1</v>
      </c>
      <c r="C89" s="21" t="s">
        <v>0</v>
      </c>
      <c r="D89" s="20">
        <v>3.41</v>
      </c>
      <c r="E89" s="36">
        <v>8</v>
      </c>
      <c r="H89" t="str">
        <f>TRIM(Таблиця1[[#This Row],[Абонент]])</f>
        <v>77010000057</v>
      </c>
      <c r="J89">
        <f t="shared" si="1"/>
        <v>77010000057</v>
      </c>
    </row>
    <row r="90" spans="1:10" x14ac:dyDescent="0.3">
      <c r="A90" s="42">
        <v>77010000060</v>
      </c>
      <c r="B90" s="20">
        <v>1</v>
      </c>
      <c r="C90" s="21" t="s">
        <v>0</v>
      </c>
      <c r="D90" s="20">
        <v>3.41</v>
      </c>
      <c r="E90" s="36">
        <v>8</v>
      </c>
      <c r="H90" t="str">
        <f>TRIM(Таблиця1[[#This Row],[Абонент]])</f>
        <v>77010000060</v>
      </c>
      <c r="J90">
        <f t="shared" si="1"/>
        <v>77010000060</v>
      </c>
    </row>
    <row r="91" spans="1:10" x14ac:dyDescent="0.3">
      <c r="A91" s="42">
        <v>77010000058</v>
      </c>
      <c r="B91" s="20">
        <v>1</v>
      </c>
      <c r="C91" s="21" t="s">
        <v>0</v>
      </c>
      <c r="D91" s="20">
        <v>3.41</v>
      </c>
      <c r="E91" s="36">
        <v>8</v>
      </c>
      <c r="H91" t="str">
        <f>TRIM(Таблиця1[[#This Row],[Абонент]])</f>
        <v>77010000058</v>
      </c>
      <c r="J91">
        <f t="shared" si="1"/>
        <v>77010000058</v>
      </c>
    </row>
    <row r="92" spans="1:10" x14ac:dyDescent="0.3">
      <c r="A92" s="42">
        <v>77010000090</v>
      </c>
      <c r="B92" s="20">
        <v>1</v>
      </c>
      <c r="C92" s="21" t="s">
        <v>0</v>
      </c>
      <c r="D92" s="20">
        <v>3.41</v>
      </c>
      <c r="E92" s="36">
        <v>8</v>
      </c>
      <c r="H92" t="str">
        <f>TRIM(Таблиця1[[#This Row],[Абонент]])</f>
        <v>77010000090</v>
      </c>
      <c r="J92">
        <f t="shared" si="1"/>
        <v>77010000090</v>
      </c>
    </row>
    <row r="93" spans="1:10" x14ac:dyDescent="0.3">
      <c r="A93" s="42">
        <v>77010000076</v>
      </c>
      <c r="B93" s="20">
        <v>1</v>
      </c>
      <c r="C93" s="21" t="s">
        <v>0</v>
      </c>
      <c r="D93" s="20">
        <v>3.41</v>
      </c>
      <c r="E93" s="36">
        <v>8</v>
      </c>
      <c r="H93" t="str">
        <f>TRIM(Таблиця1[[#This Row],[Абонент]])</f>
        <v>77010000076</v>
      </c>
      <c r="J93">
        <f t="shared" si="1"/>
        <v>77010000076</v>
      </c>
    </row>
    <row r="94" spans="1:10" x14ac:dyDescent="0.3">
      <c r="A94" s="42">
        <v>77010000035</v>
      </c>
      <c r="B94" s="20">
        <v>1</v>
      </c>
      <c r="C94" s="21" t="s">
        <v>0</v>
      </c>
      <c r="D94" s="20">
        <v>3.41</v>
      </c>
      <c r="E94" s="36">
        <v>8</v>
      </c>
      <c r="H94" t="str">
        <f>TRIM(Таблиця1[[#This Row],[Абонент]])</f>
        <v>77010000035</v>
      </c>
      <c r="J94">
        <f t="shared" si="1"/>
        <v>77010000035</v>
      </c>
    </row>
    <row r="95" spans="1:10" x14ac:dyDescent="0.3">
      <c r="A95" s="42">
        <v>77010000023</v>
      </c>
      <c r="B95" s="20">
        <v>1</v>
      </c>
      <c r="C95" s="21" t="s">
        <v>0</v>
      </c>
      <c r="D95" s="20">
        <v>3.41</v>
      </c>
      <c r="E95" s="36">
        <v>8</v>
      </c>
      <c r="H95" t="str">
        <f>TRIM(Таблиця1[[#This Row],[Абонент]])</f>
        <v>77010000023</v>
      </c>
      <c r="J95">
        <f t="shared" si="1"/>
        <v>77010000023</v>
      </c>
    </row>
    <row r="96" spans="1:10" x14ac:dyDescent="0.3">
      <c r="A96" s="42">
        <v>77010000039</v>
      </c>
      <c r="B96" s="20">
        <v>1</v>
      </c>
      <c r="C96" s="21" t="s">
        <v>0</v>
      </c>
      <c r="D96" s="20">
        <v>3.41</v>
      </c>
      <c r="E96" s="36">
        <v>8</v>
      </c>
      <c r="H96" t="str">
        <f>TRIM(Таблиця1[[#This Row],[Абонент]])</f>
        <v>77010000039</v>
      </c>
      <c r="J96">
        <f t="shared" si="1"/>
        <v>77010000039</v>
      </c>
    </row>
    <row r="97" spans="1:10" x14ac:dyDescent="0.3">
      <c r="A97" s="42">
        <v>77010000058</v>
      </c>
      <c r="B97" s="20">
        <v>1</v>
      </c>
      <c r="C97" s="21" t="s">
        <v>2</v>
      </c>
      <c r="D97" s="20">
        <v>7.43</v>
      </c>
      <c r="E97" s="36">
        <v>9</v>
      </c>
      <c r="H97" t="str">
        <f>TRIM(Таблиця1[[#This Row],[Абонент]])</f>
        <v>77010000058</v>
      </c>
      <c r="J97" t="str">
        <f t="shared" si="1"/>
        <v/>
      </c>
    </row>
    <row r="98" spans="1:10" x14ac:dyDescent="0.3">
      <c r="A98" s="42">
        <v>77010000061</v>
      </c>
      <c r="B98" s="20">
        <v>1</v>
      </c>
      <c r="C98" s="21" t="s">
        <v>0</v>
      </c>
      <c r="D98" s="20">
        <v>3.84</v>
      </c>
      <c r="E98" s="36">
        <v>9</v>
      </c>
      <c r="H98" t="str">
        <f>TRIM(Таблиця1[[#This Row],[Абонент]])</f>
        <v>77010000061</v>
      </c>
      <c r="J98">
        <f t="shared" si="1"/>
        <v>77010000061</v>
      </c>
    </row>
    <row r="99" spans="1:10" x14ac:dyDescent="0.3">
      <c r="A99" s="42">
        <v>77010000069</v>
      </c>
      <c r="B99" s="20">
        <v>1</v>
      </c>
      <c r="C99" s="21" t="s">
        <v>0</v>
      </c>
      <c r="D99" s="20">
        <v>3.84</v>
      </c>
      <c r="E99" s="36">
        <v>9</v>
      </c>
      <c r="H99" t="str">
        <f>TRIM(Таблиця1[[#This Row],[Абонент]])</f>
        <v>77010000069</v>
      </c>
      <c r="J99">
        <f t="shared" si="1"/>
        <v>77010000069</v>
      </c>
    </row>
    <row r="100" spans="1:10" x14ac:dyDescent="0.3">
      <c r="A100" s="42">
        <v>77010000067</v>
      </c>
      <c r="B100" s="20">
        <v>1</v>
      </c>
      <c r="C100" s="21" t="s">
        <v>3</v>
      </c>
      <c r="D100" s="20">
        <v>24.5</v>
      </c>
      <c r="E100" s="36">
        <v>9</v>
      </c>
      <c r="H100" t="str">
        <f>TRIM(Таблиця1[[#This Row],[Абонент]])</f>
        <v>77010000067</v>
      </c>
      <c r="J100" t="str">
        <f t="shared" si="1"/>
        <v/>
      </c>
    </row>
    <row r="101" spans="1:10" x14ac:dyDescent="0.3">
      <c r="A101" s="42">
        <v>77010000040</v>
      </c>
      <c r="B101" s="20">
        <v>1</v>
      </c>
      <c r="C101" s="21" t="s">
        <v>0</v>
      </c>
      <c r="D101" s="20">
        <v>3.84</v>
      </c>
      <c r="E101" s="36">
        <v>9</v>
      </c>
      <c r="H101" t="str">
        <f>TRIM(Таблиця1[[#This Row],[Абонент]])</f>
        <v>77010000040</v>
      </c>
      <c r="J101">
        <f t="shared" si="1"/>
        <v>77010000040</v>
      </c>
    </row>
    <row r="102" spans="1:10" x14ac:dyDescent="0.3">
      <c r="A102" s="42">
        <v>77010000047</v>
      </c>
      <c r="B102" s="20">
        <v>1</v>
      </c>
      <c r="C102" s="21" t="s">
        <v>0</v>
      </c>
      <c r="D102" s="20">
        <v>3.84</v>
      </c>
      <c r="E102" s="36">
        <v>9</v>
      </c>
      <c r="H102" t="str">
        <f>TRIM(Таблиця1[[#This Row],[Абонент]])</f>
        <v>77010000047</v>
      </c>
      <c r="J102">
        <f t="shared" si="1"/>
        <v>77010000047</v>
      </c>
    </row>
    <row r="103" spans="1:10" x14ac:dyDescent="0.3">
      <c r="A103" s="42">
        <v>77010000050</v>
      </c>
      <c r="B103" s="20">
        <v>1</v>
      </c>
      <c r="C103" s="21" t="s">
        <v>0</v>
      </c>
      <c r="D103" s="20">
        <v>3.84</v>
      </c>
      <c r="E103" s="36">
        <v>9</v>
      </c>
      <c r="H103" t="str">
        <f>TRIM(Таблиця1[[#This Row],[Абонент]])</f>
        <v>77010000050</v>
      </c>
      <c r="J103">
        <f t="shared" si="1"/>
        <v>77010000050</v>
      </c>
    </row>
    <row r="104" spans="1:10" x14ac:dyDescent="0.3">
      <c r="A104" s="42">
        <v>77010000009</v>
      </c>
      <c r="B104" s="20">
        <v>1</v>
      </c>
      <c r="C104" s="21" t="s">
        <v>0</v>
      </c>
      <c r="D104" s="20">
        <v>3.84</v>
      </c>
      <c r="E104" s="36">
        <v>9</v>
      </c>
      <c r="H104" t="str">
        <f>TRIM(Таблиця1[[#This Row],[Абонент]])</f>
        <v>77010000009</v>
      </c>
      <c r="J104">
        <f t="shared" si="1"/>
        <v>77010000009</v>
      </c>
    </row>
    <row r="105" spans="1:10" x14ac:dyDescent="0.3">
      <c r="A105" s="42">
        <v>77010000017</v>
      </c>
      <c r="B105" s="20">
        <v>1</v>
      </c>
      <c r="C105" s="21" t="s">
        <v>3</v>
      </c>
      <c r="D105" s="20">
        <v>24.5</v>
      </c>
      <c r="E105" s="36">
        <v>9</v>
      </c>
      <c r="H105" t="str">
        <f>TRIM(Таблиця1[[#This Row],[Абонент]])</f>
        <v>77010000017</v>
      </c>
      <c r="J105" t="str">
        <f t="shared" si="1"/>
        <v/>
      </c>
    </row>
    <row r="106" spans="1:10" x14ac:dyDescent="0.3">
      <c r="A106" s="42">
        <v>77010000031</v>
      </c>
      <c r="B106" s="20">
        <v>1</v>
      </c>
      <c r="C106" s="21" t="s">
        <v>0</v>
      </c>
      <c r="D106" s="20">
        <v>3.84</v>
      </c>
      <c r="E106" s="36">
        <v>9</v>
      </c>
      <c r="H106" t="str">
        <f>TRIM(Таблиця1[[#This Row],[Абонент]])</f>
        <v>77010000031</v>
      </c>
      <c r="J106">
        <f t="shared" si="1"/>
        <v>77010000031</v>
      </c>
    </row>
    <row r="107" spans="1:10" x14ac:dyDescent="0.3">
      <c r="A107" s="42">
        <v>77010000043</v>
      </c>
      <c r="B107" s="20">
        <v>1</v>
      </c>
      <c r="C107" s="21" t="s">
        <v>0</v>
      </c>
      <c r="D107" s="20">
        <v>3.84</v>
      </c>
      <c r="E107" s="36">
        <v>9</v>
      </c>
      <c r="H107" t="str">
        <f>TRIM(Таблиця1[[#This Row],[Абонент]])</f>
        <v>77010000043</v>
      </c>
      <c r="J107">
        <f t="shared" si="1"/>
        <v>77010000043</v>
      </c>
    </row>
    <row r="108" spans="1:10" x14ac:dyDescent="0.3">
      <c r="A108" s="42">
        <v>77010000002</v>
      </c>
      <c r="B108" s="20">
        <v>1</v>
      </c>
      <c r="C108" s="21" t="s">
        <v>0</v>
      </c>
      <c r="D108" s="20">
        <v>3.84</v>
      </c>
      <c r="E108" s="36">
        <v>9</v>
      </c>
      <c r="H108" t="str">
        <f>TRIM(Таблиця1[[#This Row],[Абонент]])</f>
        <v>77010000002</v>
      </c>
      <c r="J108">
        <f t="shared" si="1"/>
        <v>77010000002</v>
      </c>
    </row>
    <row r="109" spans="1:10" x14ac:dyDescent="0.3">
      <c r="A109" s="42">
        <v>77010000013</v>
      </c>
      <c r="B109" s="20">
        <v>1</v>
      </c>
      <c r="C109" s="21" t="s">
        <v>0</v>
      </c>
      <c r="D109" s="20">
        <v>3.84</v>
      </c>
      <c r="E109" s="36">
        <v>9</v>
      </c>
      <c r="H109" t="str">
        <f>TRIM(Таблиця1[[#This Row],[Абонент]])</f>
        <v>77010000013</v>
      </c>
      <c r="J109">
        <f t="shared" si="1"/>
        <v>77010000013</v>
      </c>
    </row>
    <row r="110" spans="1:10" x14ac:dyDescent="0.3">
      <c r="A110" s="42">
        <v>77010000036</v>
      </c>
      <c r="B110" s="20">
        <v>1</v>
      </c>
      <c r="C110" s="21" t="s">
        <v>0</v>
      </c>
      <c r="D110" s="20">
        <v>3.84</v>
      </c>
      <c r="E110" s="36">
        <v>9</v>
      </c>
      <c r="H110" t="str">
        <f>TRIM(Таблиця1[[#This Row],[Абонент]])</f>
        <v>77010000036</v>
      </c>
      <c r="J110">
        <f t="shared" si="1"/>
        <v>77010000036</v>
      </c>
    </row>
    <row r="111" spans="1:10" x14ac:dyDescent="0.3">
      <c r="A111" s="42">
        <v>77010000076</v>
      </c>
      <c r="B111" s="20">
        <v>1</v>
      </c>
      <c r="C111" s="21" t="s">
        <v>0</v>
      </c>
      <c r="D111" s="20">
        <v>3.84</v>
      </c>
      <c r="E111" s="36">
        <v>9</v>
      </c>
      <c r="H111" t="str">
        <f>TRIM(Таблиця1[[#This Row],[Абонент]])</f>
        <v>77010000076</v>
      </c>
      <c r="J111">
        <f t="shared" si="1"/>
        <v>77010000076</v>
      </c>
    </row>
    <row r="112" spans="1:10" x14ac:dyDescent="0.3">
      <c r="A112" s="42">
        <v>77010000079</v>
      </c>
      <c r="B112" s="20">
        <v>1</v>
      </c>
      <c r="C112" s="21" t="s">
        <v>0</v>
      </c>
      <c r="D112" s="20">
        <v>3.84</v>
      </c>
      <c r="E112" s="36">
        <v>9</v>
      </c>
      <c r="H112" t="str">
        <f>TRIM(Таблиця1[[#This Row],[Абонент]])</f>
        <v>77010000079</v>
      </c>
      <c r="J112">
        <f t="shared" si="1"/>
        <v>77010000079</v>
      </c>
    </row>
    <row r="113" spans="1:10" x14ac:dyDescent="0.3">
      <c r="A113" s="42">
        <v>77010000074</v>
      </c>
      <c r="B113" s="20">
        <v>1</v>
      </c>
      <c r="C113" s="21" t="s">
        <v>0</v>
      </c>
      <c r="D113" s="20">
        <v>3.84</v>
      </c>
      <c r="E113" s="36">
        <v>9</v>
      </c>
      <c r="H113" t="str">
        <f>TRIM(Таблиця1[[#This Row],[Абонент]])</f>
        <v>77010000074</v>
      </c>
      <c r="J113">
        <f t="shared" si="1"/>
        <v>77010000074</v>
      </c>
    </row>
    <row r="114" spans="1:10" x14ac:dyDescent="0.3">
      <c r="A114" s="42">
        <v>77010000076</v>
      </c>
      <c r="B114" s="20">
        <v>1</v>
      </c>
      <c r="C114" s="21" t="s">
        <v>0</v>
      </c>
      <c r="D114" s="20">
        <v>3.84</v>
      </c>
      <c r="E114" s="36">
        <v>9</v>
      </c>
      <c r="H114" t="str">
        <f>TRIM(Таблиця1[[#This Row],[Абонент]])</f>
        <v>77010000076</v>
      </c>
      <c r="J114">
        <f t="shared" si="1"/>
        <v>77010000076</v>
      </c>
    </row>
    <row r="115" spans="1:10" x14ac:dyDescent="0.3">
      <c r="A115" s="42">
        <v>77010000078</v>
      </c>
      <c r="B115" s="20">
        <v>1</v>
      </c>
      <c r="C115" s="21" t="s">
        <v>0</v>
      </c>
      <c r="D115" s="20">
        <v>3.84</v>
      </c>
      <c r="E115" s="36">
        <v>9</v>
      </c>
      <c r="H115" t="str">
        <f>TRIM(Таблиця1[[#This Row],[Абонент]])</f>
        <v>77010000078</v>
      </c>
      <c r="J115">
        <f t="shared" si="1"/>
        <v>77010000078</v>
      </c>
    </row>
    <row r="116" spans="1:10" x14ac:dyDescent="0.3">
      <c r="A116" s="42">
        <v>77010000056</v>
      </c>
      <c r="B116" s="20">
        <v>1</v>
      </c>
      <c r="C116" s="21" t="s">
        <v>0</v>
      </c>
      <c r="D116" s="20">
        <v>4.26</v>
      </c>
      <c r="E116" s="36">
        <v>10</v>
      </c>
      <c r="H116" t="str">
        <f>TRIM(Таблиця1[[#This Row],[Абонент]])</f>
        <v>77010000056</v>
      </c>
      <c r="J116">
        <f t="shared" si="1"/>
        <v>77010000056</v>
      </c>
    </row>
    <row r="117" spans="1:10" x14ac:dyDescent="0.3">
      <c r="A117" s="42">
        <v>77010000049</v>
      </c>
      <c r="B117" s="20">
        <v>1</v>
      </c>
      <c r="C117" s="21" t="s">
        <v>0</v>
      </c>
      <c r="D117" s="20">
        <v>4.26</v>
      </c>
      <c r="E117" s="36">
        <v>10</v>
      </c>
      <c r="H117" t="str">
        <f>TRIM(Таблиця1[[#This Row],[Абонент]])</f>
        <v>77010000049</v>
      </c>
      <c r="J117">
        <f t="shared" si="1"/>
        <v>77010000049</v>
      </c>
    </row>
    <row r="118" spans="1:10" x14ac:dyDescent="0.3">
      <c r="A118" s="42">
        <v>77010000051</v>
      </c>
      <c r="B118" s="20">
        <v>1</v>
      </c>
      <c r="C118" s="21" t="s">
        <v>3</v>
      </c>
      <c r="D118" s="20">
        <v>24.5</v>
      </c>
      <c r="E118" s="36">
        <v>10</v>
      </c>
      <c r="H118" t="str">
        <f>TRIM(Таблиця1[[#This Row],[Абонент]])</f>
        <v>77010000051</v>
      </c>
      <c r="J118" t="str">
        <f t="shared" si="1"/>
        <v/>
      </c>
    </row>
    <row r="119" spans="1:10" x14ac:dyDescent="0.3">
      <c r="A119" s="42">
        <v>77010000059</v>
      </c>
      <c r="B119" s="20">
        <v>1</v>
      </c>
      <c r="C119" s="21" t="s">
        <v>0</v>
      </c>
      <c r="D119" s="20">
        <v>4.26</v>
      </c>
      <c r="E119" s="36">
        <v>10</v>
      </c>
      <c r="H119" t="str">
        <f>TRIM(Таблиця1[[#This Row],[Абонент]])</f>
        <v>77010000059</v>
      </c>
      <c r="J119">
        <f t="shared" si="1"/>
        <v>77010000059</v>
      </c>
    </row>
    <row r="120" spans="1:10" x14ac:dyDescent="0.3">
      <c r="A120" s="42">
        <v>77010000068</v>
      </c>
      <c r="B120" s="20">
        <v>1</v>
      </c>
      <c r="C120" s="21" t="s">
        <v>0</v>
      </c>
      <c r="D120" s="20">
        <v>4.26</v>
      </c>
      <c r="E120" s="36">
        <v>10</v>
      </c>
      <c r="H120" t="str">
        <f>TRIM(Таблиця1[[#This Row],[Абонент]])</f>
        <v>77010000068</v>
      </c>
      <c r="J120">
        <f t="shared" si="1"/>
        <v>77010000068</v>
      </c>
    </row>
    <row r="121" spans="1:10" x14ac:dyDescent="0.3">
      <c r="A121" s="42">
        <v>77010000077</v>
      </c>
      <c r="B121" s="20">
        <v>1</v>
      </c>
      <c r="C121" s="21" t="s">
        <v>0</v>
      </c>
      <c r="D121" s="20">
        <v>4.26</v>
      </c>
      <c r="E121" s="36">
        <v>10</v>
      </c>
      <c r="H121" t="str">
        <f>TRIM(Таблиця1[[#This Row],[Абонент]])</f>
        <v>77010000077</v>
      </c>
      <c r="J121">
        <f t="shared" si="1"/>
        <v>77010000077</v>
      </c>
    </row>
    <row r="122" spans="1:10" x14ac:dyDescent="0.3">
      <c r="A122" s="42">
        <v>77010000083</v>
      </c>
      <c r="B122" s="20">
        <v>1</v>
      </c>
      <c r="C122" s="21" t="s">
        <v>0</v>
      </c>
      <c r="D122" s="20">
        <v>4.26</v>
      </c>
      <c r="E122" s="36">
        <v>10</v>
      </c>
      <c r="H122" t="str">
        <f>TRIM(Таблиця1[[#This Row],[Абонент]])</f>
        <v>77010000083</v>
      </c>
      <c r="J122">
        <f t="shared" si="1"/>
        <v>77010000083</v>
      </c>
    </row>
    <row r="123" spans="1:10" x14ac:dyDescent="0.3">
      <c r="A123" s="42">
        <v>77010000090</v>
      </c>
      <c r="B123" s="20">
        <v>1</v>
      </c>
      <c r="C123" s="21" t="s">
        <v>0</v>
      </c>
      <c r="D123" s="20">
        <v>4.26</v>
      </c>
      <c r="E123" s="36">
        <v>10</v>
      </c>
      <c r="H123" t="str">
        <f>TRIM(Таблиця1[[#This Row],[Абонент]])</f>
        <v>77010000090</v>
      </c>
      <c r="J123">
        <f t="shared" si="1"/>
        <v>77010000090</v>
      </c>
    </row>
    <row r="124" spans="1:10" x14ac:dyDescent="0.3">
      <c r="A124" s="42">
        <v>77010000011</v>
      </c>
      <c r="B124" s="20">
        <v>1</v>
      </c>
      <c r="C124" s="21" t="s">
        <v>0</v>
      </c>
      <c r="D124" s="20">
        <v>4.26</v>
      </c>
      <c r="E124" s="36">
        <v>10</v>
      </c>
      <c r="H124" t="str">
        <f>TRIM(Таблиця1[[#This Row],[Абонент]])</f>
        <v>77010000011</v>
      </c>
      <c r="J124">
        <f t="shared" si="1"/>
        <v>77010000011</v>
      </c>
    </row>
    <row r="125" spans="1:10" x14ac:dyDescent="0.3">
      <c r="A125" s="42">
        <v>77010000027</v>
      </c>
      <c r="B125" s="20">
        <v>1</v>
      </c>
      <c r="C125" s="21" t="s">
        <v>1</v>
      </c>
      <c r="D125" s="20">
        <v>7.43</v>
      </c>
      <c r="E125" s="36">
        <v>10</v>
      </c>
      <c r="H125" t="str">
        <f>TRIM(Таблиця1[[#This Row],[Абонент]])</f>
        <v>77010000027</v>
      </c>
      <c r="J125" t="str">
        <f t="shared" si="1"/>
        <v/>
      </c>
    </row>
    <row r="126" spans="1:10" x14ac:dyDescent="0.3">
      <c r="A126" s="42">
        <v>77010000039</v>
      </c>
      <c r="B126" s="20">
        <v>1</v>
      </c>
      <c r="C126" s="21" t="s">
        <v>0</v>
      </c>
      <c r="D126" s="20">
        <v>4.26</v>
      </c>
      <c r="E126" s="36">
        <v>10</v>
      </c>
      <c r="H126" t="str">
        <f>TRIM(Таблиця1[[#This Row],[Абонент]])</f>
        <v>77010000039</v>
      </c>
      <c r="J126">
        <f t="shared" si="1"/>
        <v>77010000039</v>
      </c>
    </row>
    <row r="127" spans="1:10" x14ac:dyDescent="0.3">
      <c r="A127" s="42">
        <v>77010000045</v>
      </c>
      <c r="B127" s="20">
        <v>1</v>
      </c>
      <c r="C127" s="21" t="s">
        <v>0</v>
      </c>
      <c r="D127" s="20">
        <v>4.26</v>
      </c>
      <c r="E127" s="36">
        <v>10</v>
      </c>
      <c r="H127" t="str">
        <f>TRIM(Таблиця1[[#This Row],[Абонент]])</f>
        <v>77010000045</v>
      </c>
      <c r="J127">
        <f t="shared" si="1"/>
        <v>77010000045</v>
      </c>
    </row>
    <row r="128" spans="1:10" x14ac:dyDescent="0.3">
      <c r="A128" s="42">
        <v>77010000046</v>
      </c>
      <c r="B128" s="20">
        <v>1</v>
      </c>
      <c r="C128" s="21" t="s">
        <v>0</v>
      </c>
      <c r="D128" s="20">
        <v>4.26</v>
      </c>
      <c r="E128" s="36">
        <v>10</v>
      </c>
      <c r="H128" t="str">
        <f>TRIM(Таблиця1[[#This Row],[Абонент]])</f>
        <v>77010000046</v>
      </c>
      <c r="J128">
        <f t="shared" si="1"/>
        <v>77010000046</v>
      </c>
    </row>
    <row r="129" spans="1:10" x14ac:dyDescent="0.3">
      <c r="A129" s="42">
        <v>77010000011</v>
      </c>
      <c r="B129" s="20">
        <v>1</v>
      </c>
      <c r="C129" s="21" t="s">
        <v>0</v>
      </c>
      <c r="D129" s="20">
        <v>4.26</v>
      </c>
      <c r="E129" s="36">
        <v>10</v>
      </c>
      <c r="H129" t="str">
        <f>TRIM(Таблиця1[[#This Row],[Абонент]])</f>
        <v>77010000011</v>
      </c>
      <c r="J129">
        <f t="shared" si="1"/>
        <v>77010000011</v>
      </c>
    </row>
    <row r="130" spans="1:10" x14ac:dyDescent="0.3">
      <c r="A130" s="42">
        <v>77010000032</v>
      </c>
      <c r="B130" s="20">
        <v>1</v>
      </c>
      <c r="C130" s="21" t="s">
        <v>0</v>
      </c>
      <c r="D130" s="20">
        <v>4.26</v>
      </c>
      <c r="E130" s="36">
        <v>10</v>
      </c>
      <c r="H130" t="str">
        <f>TRIM(Таблиця1[[#This Row],[Абонент]])</f>
        <v>77010000032</v>
      </c>
      <c r="J130">
        <f t="shared" si="1"/>
        <v>77010000032</v>
      </c>
    </row>
    <row r="131" spans="1:10" x14ac:dyDescent="0.3">
      <c r="A131" s="42">
        <v>77010000078</v>
      </c>
      <c r="B131" s="20">
        <v>1</v>
      </c>
      <c r="C131" s="21" t="s">
        <v>0</v>
      </c>
      <c r="D131" s="20">
        <v>4.26</v>
      </c>
      <c r="E131" s="36">
        <v>10</v>
      </c>
      <c r="H131" t="str">
        <f>TRIM(Таблиця1[[#This Row],[Абонент]])</f>
        <v>77010000078</v>
      </c>
      <c r="J131">
        <f t="shared" ref="J131:J194" si="2">IF(C131="Внутри сети",A131,"")</f>
        <v>77010000078</v>
      </c>
    </row>
    <row r="132" spans="1:10" x14ac:dyDescent="0.3">
      <c r="A132" s="42">
        <v>77010000057</v>
      </c>
      <c r="B132" s="20">
        <v>1</v>
      </c>
      <c r="C132" s="21" t="s">
        <v>0</v>
      </c>
      <c r="D132" s="20">
        <v>4.6900000000000004</v>
      </c>
      <c r="E132" s="36">
        <v>11</v>
      </c>
      <c r="H132" t="str">
        <f>TRIM(Таблиця1[[#This Row],[Абонент]])</f>
        <v>77010000057</v>
      </c>
      <c r="J132">
        <f t="shared" si="2"/>
        <v>77010000057</v>
      </c>
    </row>
    <row r="133" spans="1:10" x14ac:dyDescent="0.3">
      <c r="A133" s="42">
        <v>77010000053</v>
      </c>
      <c r="B133" s="20">
        <v>1</v>
      </c>
      <c r="C133" s="21" t="s">
        <v>0</v>
      </c>
      <c r="D133" s="20">
        <v>4.6900000000000004</v>
      </c>
      <c r="E133" s="36">
        <v>11</v>
      </c>
      <c r="H133" t="str">
        <f>TRIM(Таблиця1[[#This Row],[Абонент]])</f>
        <v>77010000053</v>
      </c>
      <c r="J133">
        <f t="shared" si="2"/>
        <v>77010000053</v>
      </c>
    </row>
    <row r="134" spans="1:10" x14ac:dyDescent="0.3">
      <c r="A134" s="42">
        <v>77010000063</v>
      </c>
      <c r="B134" s="20">
        <v>1</v>
      </c>
      <c r="C134" s="21" t="s">
        <v>0</v>
      </c>
      <c r="D134" s="20">
        <v>4.6900000000000004</v>
      </c>
      <c r="E134" s="36">
        <v>11</v>
      </c>
      <c r="H134" t="str">
        <f>TRIM(Таблиця1[[#This Row],[Абонент]])</f>
        <v>77010000063</v>
      </c>
      <c r="J134">
        <f t="shared" si="2"/>
        <v>77010000063</v>
      </c>
    </row>
    <row r="135" spans="1:10" x14ac:dyDescent="0.3">
      <c r="A135" s="42">
        <v>77010000055</v>
      </c>
      <c r="B135" s="20">
        <v>1</v>
      </c>
      <c r="C135" s="21" t="s">
        <v>3</v>
      </c>
      <c r="D135" s="20">
        <v>24.5</v>
      </c>
      <c r="E135" s="36">
        <v>11</v>
      </c>
      <c r="H135" t="str">
        <f>TRIM(Таблиця1[[#This Row],[Абонент]])</f>
        <v>77010000055</v>
      </c>
      <c r="J135" t="str">
        <f t="shared" si="2"/>
        <v/>
      </c>
    </row>
    <row r="136" spans="1:10" x14ac:dyDescent="0.3">
      <c r="A136" s="42">
        <v>77010000052</v>
      </c>
      <c r="B136" s="20">
        <v>1</v>
      </c>
      <c r="C136" s="21" t="s">
        <v>0</v>
      </c>
      <c r="D136" s="20">
        <v>4.6900000000000004</v>
      </c>
      <c r="E136" s="36">
        <v>11</v>
      </c>
      <c r="H136" t="str">
        <f>TRIM(Таблиця1[[#This Row],[Абонент]])</f>
        <v>77010000052</v>
      </c>
      <c r="J136">
        <f t="shared" si="2"/>
        <v>77010000052</v>
      </c>
    </row>
    <row r="137" spans="1:10" x14ac:dyDescent="0.3">
      <c r="A137" s="42">
        <v>77010000056</v>
      </c>
      <c r="B137" s="20">
        <v>1</v>
      </c>
      <c r="C137" s="21" t="s">
        <v>0</v>
      </c>
      <c r="D137" s="20">
        <v>4.6900000000000004</v>
      </c>
      <c r="E137" s="36">
        <v>11</v>
      </c>
      <c r="H137" t="str">
        <f>TRIM(Таблиця1[[#This Row],[Абонент]])</f>
        <v>77010000056</v>
      </c>
      <c r="J137">
        <f t="shared" si="2"/>
        <v>77010000056</v>
      </c>
    </row>
    <row r="138" spans="1:10" x14ac:dyDescent="0.3">
      <c r="A138" s="42">
        <v>77010000060</v>
      </c>
      <c r="B138" s="20">
        <v>1</v>
      </c>
      <c r="C138" s="21" t="s">
        <v>0</v>
      </c>
      <c r="D138" s="20">
        <v>4.6900000000000004</v>
      </c>
      <c r="E138" s="36">
        <v>11</v>
      </c>
      <c r="H138" t="str">
        <f>TRIM(Таблиця1[[#This Row],[Абонент]])</f>
        <v>77010000060</v>
      </c>
      <c r="J138">
        <f t="shared" si="2"/>
        <v>77010000060</v>
      </c>
    </row>
    <row r="139" spans="1:10" x14ac:dyDescent="0.3">
      <c r="A139" s="42">
        <v>77010000092</v>
      </c>
      <c r="B139" s="20">
        <v>1</v>
      </c>
      <c r="C139" s="21" t="s">
        <v>3</v>
      </c>
      <c r="D139" s="20">
        <v>24.5</v>
      </c>
      <c r="E139" s="36">
        <v>11</v>
      </c>
      <c r="H139" t="str">
        <f>TRIM(Таблиця1[[#This Row],[Абонент]])</f>
        <v>77010000092</v>
      </c>
      <c r="J139" t="str">
        <f t="shared" si="2"/>
        <v/>
      </c>
    </row>
    <row r="140" spans="1:10" x14ac:dyDescent="0.3">
      <c r="A140" s="42">
        <v>77010000066</v>
      </c>
      <c r="B140" s="20">
        <v>1</v>
      </c>
      <c r="C140" s="21" t="s">
        <v>0</v>
      </c>
      <c r="D140" s="20">
        <v>4.6900000000000004</v>
      </c>
      <c r="E140" s="36">
        <v>11</v>
      </c>
      <c r="H140" t="str">
        <f>TRIM(Таблиця1[[#This Row],[Абонент]])</f>
        <v>77010000066</v>
      </c>
      <c r="J140">
        <f t="shared" si="2"/>
        <v>77010000066</v>
      </c>
    </row>
    <row r="141" spans="1:10" x14ac:dyDescent="0.3">
      <c r="A141" s="42">
        <v>77010000074</v>
      </c>
      <c r="B141" s="20">
        <v>1</v>
      </c>
      <c r="C141" s="21" t="s">
        <v>0</v>
      </c>
      <c r="D141" s="20">
        <v>4.6900000000000004</v>
      </c>
      <c r="E141" s="36">
        <v>11</v>
      </c>
      <c r="H141" t="str">
        <f>TRIM(Таблиця1[[#This Row],[Абонент]])</f>
        <v>77010000074</v>
      </c>
      <c r="J141">
        <f t="shared" si="2"/>
        <v>77010000074</v>
      </c>
    </row>
    <row r="142" spans="1:10" x14ac:dyDescent="0.3">
      <c r="A142" s="42">
        <v>77010000006</v>
      </c>
      <c r="B142" s="20">
        <v>1</v>
      </c>
      <c r="C142" s="21" t="s">
        <v>0</v>
      </c>
      <c r="D142" s="20">
        <v>4.6900000000000004</v>
      </c>
      <c r="E142" s="36">
        <v>11</v>
      </c>
      <c r="H142" t="str">
        <f>TRIM(Таблиця1[[#This Row],[Абонент]])</f>
        <v>77010000006</v>
      </c>
      <c r="J142">
        <f t="shared" si="2"/>
        <v>77010000006</v>
      </c>
    </row>
    <row r="143" spans="1:10" x14ac:dyDescent="0.3">
      <c r="A143" s="42">
        <v>77010000022</v>
      </c>
      <c r="B143" s="20">
        <v>1</v>
      </c>
      <c r="C143" s="21" t="s">
        <v>0</v>
      </c>
      <c r="D143" s="20">
        <v>4.6900000000000004</v>
      </c>
      <c r="E143" s="36">
        <v>11</v>
      </c>
      <c r="H143" t="str">
        <f>TRIM(Таблиця1[[#This Row],[Абонент]])</f>
        <v>77010000022</v>
      </c>
      <c r="J143">
        <f t="shared" si="2"/>
        <v>77010000022</v>
      </c>
    </row>
    <row r="144" spans="1:10" x14ac:dyDescent="0.3">
      <c r="A144" s="42">
        <v>77010000037</v>
      </c>
      <c r="B144" s="20">
        <v>1</v>
      </c>
      <c r="C144" s="21" t="s">
        <v>0</v>
      </c>
      <c r="D144" s="20">
        <v>4.6900000000000004</v>
      </c>
      <c r="E144" s="36">
        <v>11</v>
      </c>
      <c r="H144" t="str">
        <f>TRIM(Таблиця1[[#This Row],[Абонент]])</f>
        <v>77010000037</v>
      </c>
      <c r="J144">
        <f t="shared" si="2"/>
        <v>77010000037</v>
      </c>
    </row>
    <row r="145" spans="1:10" x14ac:dyDescent="0.3">
      <c r="A145" s="42">
        <v>77010000018</v>
      </c>
      <c r="B145" s="20">
        <v>1</v>
      </c>
      <c r="C145" s="21" t="s">
        <v>0</v>
      </c>
      <c r="D145" s="20">
        <v>4.6900000000000004</v>
      </c>
      <c r="E145" s="36">
        <v>11</v>
      </c>
      <c r="H145" t="str">
        <f>TRIM(Таблиця1[[#This Row],[Абонент]])</f>
        <v>77010000018</v>
      </c>
      <c r="J145">
        <f t="shared" si="2"/>
        <v>77010000018</v>
      </c>
    </row>
    <row r="146" spans="1:10" x14ac:dyDescent="0.3">
      <c r="A146" s="42">
        <v>77010000034</v>
      </c>
      <c r="B146" s="20">
        <v>1</v>
      </c>
      <c r="C146" s="21" t="s">
        <v>0</v>
      </c>
      <c r="D146" s="20">
        <v>4.6900000000000004</v>
      </c>
      <c r="E146" s="36">
        <v>11</v>
      </c>
      <c r="H146" t="str">
        <f>TRIM(Таблиця1[[#This Row],[Абонент]])</f>
        <v>77010000034</v>
      </c>
      <c r="J146">
        <f t="shared" si="2"/>
        <v>77010000034</v>
      </c>
    </row>
    <row r="147" spans="1:10" x14ac:dyDescent="0.3">
      <c r="A147" s="42">
        <v>77010000051</v>
      </c>
      <c r="B147" s="20">
        <v>1</v>
      </c>
      <c r="C147" s="21" t="s">
        <v>0</v>
      </c>
      <c r="D147" s="20">
        <v>4.6900000000000004</v>
      </c>
      <c r="E147" s="36">
        <v>11</v>
      </c>
      <c r="H147" t="str">
        <f>TRIM(Таблиця1[[#This Row],[Абонент]])</f>
        <v>77010000051</v>
      </c>
      <c r="J147">
        <f t="shared" si="2"/>
        <v>77010000051</v>
      </c>
    </row>
    <row r="148" spans="1:10" x14ac:dyDescent="0.3">
      <c r="A148" s="42">
        <v>77010000082</v>
      </c>
      <c r="B148" s="20">
        <v>1</v>
      </c>
      <c r="C148" s="21" t="s">
        <v>0</v>
      </c>
      <c r="D148" s="20">
        <v>4.6900000000000004</v>
      </c>
      <c r="E148" s="36">
        <v>11</v>
      </c>
      <c r="H148" t="str">
        <f>TRIM(Таблиця1[[#This Row],[Абонент]])</f>
        <v>77010000082</v>
      </c>
      <c r="J148">
        <f t="shared" si="2"/>
        <v>77010000082</v>
      </c>
    </row>
    <row r="149" spans="1:10" x14ac:dyDescent="0.3">
      <c r="A149" s="42">
        <v>77010000080</v>
      </c>
      <c r="B149" s="20">
        <v>1</v>
      </c>
      <c r="C149" s="21" t="s">
        <v>0</v>
      </c>
      <c r="D149" s="20">
        <v>4.6900000000000004</v>
      </c>
      <c r="E149" s="36">
        <v>11</v>
      </c>
      <c r="H149" t="str">
        <f>TRIM(Таблиця1[[#This Row],[Абонент]])</f>
        <v>77010000080</v>
      </c>
      <c r="J149">
        <f t="shared" si="2"/>
        <v>77010000080</v>
      </c>
    </row>
    <row r="150" spans="1:10" x14ac:dyDescent="0.3">
      <c r="A150" s="42">
        <v>77010000059</v>
      </c>
      <c r="B150" s="20">
        <v>1</v>
      </c>
      <c r="C150" s="21" t="s">
        <v>0</v>
      </c>
      <c r="D150" s="20">
        <v>5.1100000000000003</v>
      </c>
      <c r="E150" s="36">
        <v>12</v>
      </c>
      <c r="H150" t="str">
        <f>TRIM(Таблиця1[[#This Row],[Абонент]])</f>
        <v>77010000059</v>
      </c>
      <c r="J150">
        <f t="shared" si="2"/>
        <v>77010000059</v>
      </c>
    </row>
    <row r="151" spans="1:10" x14ac:dyDescent="0.3">
      <c r="A151" s="42">
        <v>77010000052</v>
      </c>
      <c r="B151" s="20">
        <v>1</v>
      </c>
      <c r="C151" s="21" t="s">
        <v>0</v>
      </c>
      <c r="D151" s="20">
        <v>5.1100000000000003</v>
      </c>
      <c r="E151" s="36">
        <v>12</v>
      </c>
      <c r="H151" t="str">
        <f>TRIM(Таблиця1[[#This Row],[Абонент]])</f>
        <v>77010000052</v>
      </c>
      <c r="J151">
        <f t="shared" si="2"/>
        <v>77010000052</v>
      </c>
    </row>
    <row r="152" spans="1:10" x14ac:dyDescent="0.3">
      <c r="A152" s="42">
        <v>77010000059</v>
      </c>
      <c r="B152" s="20">
        <v>1</v>
      </c>
      <c r="C152" s="21" t="s">
        <v>0</v>
      </c>
      <c r="D152" s="20">
        <v>5.1100000000000003</v>
      </c>
      <c r="E152" s="36">
        <v>12</v>
      </c>
      <c r="H152" t="str">
        <f>TRIM(Таблиця1[[#This Row],[Абонент]])</f>
        <v>77010000059</v>
      </c>
      <c r="J152">
        <f t="shared" si="2"/>
        <v>77010000059</v>
      </c>
    </row>
    <row r="153" spans="1:10" x14ac:dyDescent="0.3">
      <c r="A153" s="42">
        <v>77010000068</v>
      </c>
      <c r="B153" s="20">
        <v>1</v>
      </c>
      <c r="C153" s="21" t="s">
        <v>0</v>
      </c>
      <c r="D153" s="20">
        <v>5.1100000000000003</v>
      </c>
      <c r="E153" s="36">
        <v>12</v>
      </c>
      <c r="H153" t="str">
        <f>TRIM(Таблиця1[[#This Row],[Абонент]])</f>
        <v>77010000068</v>
      </c>
      <c r="J153">
        <f t="shared" si="2"/>
        <v>77010000068</v>
      </c>
    </row>
    <row r="154" spans="1:10" x14ac:dyDescent="0.3">
      <c r="A154" s="42">
        <v>77010000039</v>
      </c>
      <c r="B154" s="20">
        <v>1</v>
      </c>
      <c r="C154" s="21" t="s">
        <v>0</v>
      </c>
      <c r="D154" s="20">
        <v>5.1100000000000003</v>
      </c>
      <c r="E154" s="36">
        <v>12</v>
      </c>
      <c r="H154" t="str">
        <f>TRIM(Таблиця1[[#This Row],[Абонент]])</f>
        <v>77010000039</v>
      </c>
      <c r="J154">
        <f t="shared" si="2"/>
        <v>77010000039</v>
      </c>
    </row>
    <row r="155" spans="1:10" x14ac:dyDescent="0.3">
      <c r="A155" s="42">
        <v>77010000041</v>
      </c>
      <c r="B155" s="20">
        <v>1</v>
      </c>
      <c r="C155" s="21" t="s">
        <v>0</v>
      </c>
      <c r="D155" s="20">
        <v>5.1100000000000003</v>
      </c>
      <c r="E155" s="36">
        <v>12</v>
      </c>
      <c r="H155" t="str">
        <f>TRIM(Таблиця1[[#This Row],[Абонент]])</f>
        <v>77010000041</v>
      </c>
      <c r="J155">
        <f t="shared" si="2"/>
        <v>77010000041</v>
      </c>
    </row>
    <row r="156" spans="1:10" x14ac:dyDescent="0.3">
      <c r="A156" s="42">
        <v>77010000044</v>
      </c>
      <c r="B156" s="20">
        <v>1</v>
      </c>
      <c r="C156" s="21" t="s">
        <v>0</v>
      </c>
      <c r="D156" s="20">
        <v>5.1100000000000003</v>
      </c>
      <c r="E156" s="36">
        <v>12</v>
      </c>
      <c r="H156" t="str">
        <f>TRIM(Таблиця1[[#This Row],[Абонент]])</f>
        <v>77010000044</v>
      </c>
      <c r="J156">
        <f t="shared" si="2"/>
        <v>77010000044</v>
      </c>
    </row>
    <row r="157" spans="1:10" x14ac:dyDescent="0.3">
      <c r="A157" s="42">
        <v>77010000091</v>
      </c>
      <c r="B157" s="20">
        <v>1</v>
      </c>
      <c r="C157" s="21" t="s">
        <v>0</v>
      </c>
      <c r="D157" s="20">
        <v>5.1100000000000003</v>
      </c>
      <c r="E157" s="36">
        <v>12</v>
      </c>
      <c r="H157" t="str">
        <f>TRIM(Таблиця1[[#This Row],[Абонент]])</f>
        <v>77010000091</v>
      </c>
      <c r="J157">
        <f t="shared" si="2"/>
        <v>77010000091</v>
      </c>
    </row>
    <row r="158" spans="1:10" x14ac:dyDescent="0.3">
      <c r="A158" s="42">
        <v>77010000021</v>
      </c>
      <c r="B158" s="20">
        <v>1</v>
      </c>
      <c r="C158" s="21" t="s">
        <v>1</v>
      </c>
      <c r="D158" s="20">
        <v>14.87</v>
      </c>
      <c r="E158" s="36">
        <v>12</v>
      </c>
      <c r="H158" t="str">
        <f>TRIM(Таблиця1[[#This Row],[Абонент]])</f>
        <v>77010000021</v>
      </c>
      <c r="J158" t="str">
        <f t="shared" si="2"/>
        <v/>
      </c>
    </row>
    <row r="159" spans="1:10" x14ac:dyDescent="0.3">
      <c r="A159" s="42">
        <v>77010000026</v>
      </c>
      <c r="B159" s="20">
        <v>1</v>
      </c>
      <c r="C159" s="21" t="s">
        <v>0</v>
      </c>
      <c r="D159" s="20">
        <v>5.1100000000000003</v>
      </c>
      <c r="E159" s="36">
        <v>12</v>
      </c>
      <c r="H159" t="str">
        <f>TRIM(Таблиця1[[#This Row],[Абонент]])</f>
        <v>77010000026</v>
      </c>
      <c r="J159">
        <f t="shared" si="2"/>
        <v>77010000026</v>
      </c>
    </row>
    <row r="160" spans="1:10" x14ac:dyDescent="0.3">
      <c r="A160" s="42">
        <v>77010000029</v>
      </c>
      <c r="B160" s="20">
        <v>1</v>
      </c>
      <c r="C160" s="21" t="s">
        <v>1</v>
      </c>
      <c r="D160" s="20">
        <v>14.87</v>
      </c>
      <c r="E160" s="36">
        <v>12</v>
      </c>
      <c r="H160" t="str">
        <f>TRIM(Таблиця1[[#This Row],[Абонент]])</f>
        <v>77010000029</v>
      </c>
      <c r="J160" t="str">
        <f t="shared" si="2"/>
        <v/>
      </c>
    </row>
    <row r="161" spans="1:10" x14ac:dyDescent="0.3">
      <c r="A161" s="42">
        <v>77010000038</v>
      </c>
      <c r="B161" s="20">
        <v>1</v>
      </c>
      <c r="C161" s="21" t="s">
        <v>0</v>
      </c>
      <c r="D161" s="20">
        <v>5.1100000000000003</v>
      </c>
      <c r="E161" s="36">
        <v>12</v>
      </c>
      <c r="H161" t="str">
        <f>TRIM(Таблиця1[[#This Row],[Абонент]])</f>
        <v>77010000038</v>
      </c>
      <c r="J161">
        <f t="shared" si="2"/>
        <v>77010000038</v>
      </c>
    </row>
    <row r="162" spans="1:10" x14ac:dyDescent="0.3">
      <c r="A162" s="42">
        <v>77010000053</v>
      </c>
      <c r="B162" s="20">
        <v>1</v>
      </c>
      <c r="C162" s="21" t="s">
        <v>0</v>
      </c>
      <c r="D162" s="20">
        <v>5.1100000000000003</v>
      </c>
      <c r="E162" s="36">
        <v>12</v>
      </c>
      <c r="H162" t="str">
        <f>TRIM(Таблиця1[[#This Row],[Абонент]])</f>
        <v>77010000053</v>
      </c>
      <c r="J162">
        <f t="shared" si="2"/>
        <v>77010000053</v>
      </c>
    </row>
    <row r="163" spans="1:10" x14ac:dyDescent="0.3">
      <c r="A163" s="42">
        <v>77010000057</v>
      </c>
      <c r="B163" s="20">
        <v>1</v>
      </c>
      <c r="C163" s="21" t="s">
        <v>0</v>
      </c>
      <c r="D163" s="20">
        <v>5.1100000000000003</v>
      </c>
      <c r="E163" s="36">
        <v>12</v>
      </c>
      <c r="H163" t="str">
        <f>TRIM(Таблиця1[[#This Row],[Абонент]])</f>
        <v>77010000057</v>
      </c>
      <c r="J163">
        <f t="shared" si="2"/>
        <v>77010000057</v>
      </c>
    </row>
    <row r="164" spans="1:10" x14ac:dyDescent="0.3">
      <c r="A164" s="42">
        <v>77010000060</v>
      </c>
      <c r="B164" s="20">
        <v>1</v>
      </c>
      <c r="C164" s="21" t="s">
        <v>0</v>
      </c>
      <c r="D164" s="20">
        <v>5.1100000000000003</v>
      </c>
      <c r="E164" s="36">
        <v>12</v>
      </c>
      <c r="H164" t="str">
        <f>TRIM(Таблиця1[[#This Row],[Абонент]])</f>
        <v>77010000060</v>
      </c>
      <c r="J164">
        <f t="shared" si="2"/>
        <v>77010000060</v>
      </c>
    </row>
    <row r="165" spans="1:10" x14ac:dyDescent="0.3">
      <c r="A165" s="42">
        <v>77010000080</v>
      </c>
      <c r="B165" s="20">
        <v>1</v>
      </c>
      <c r="C165" s="21" t="s">
        <v>0</v>
      </c>
      <c r="D165" s="20">
        <v>5.1100000000000003</v>
      </c>
      <c r="E165" s="36">
        <v>12</v>
      </c>
      <c r="H165" t="str">
        <f>TRIM(Таблиця1[[#This Row],[Абонент]])</f>
        <v>77010000080</v>
      </c>
      <c r="J165">
        <f t="shared" si="2"/>
        <v>77010000080</v>
      </c>
    </row>
    <row r="166" spans="1:10" x14ac:dyDescent="0.3">
      <c r="A166" s="42">
        <v>77010000020</v>
      </c>
      <c r="B166" s="20">
        <v>1</v>
      </c>
      <c r="C166" s="21" t="s">
        <v>0</v>
      </c>
      <c r="D166" s="20">
        <v>5.54</v>
      </c>
      <c r="E166" s="36">
        <v>13</v>
      </c>
      <c r="H166" t="str">
        <f>TRIM(Таблиця1[[#This Row],[Абонент]])</f>
        <v>77010000020</v>
      </c>
      <c r="J166">
        <f t="shared" si="2"/>
        <v>77010000020</v>
      </c>
    </row>
    <row r="167" spans="1:10" x14ac:dyDescent="0.3">
      <c r="A167" s="42">
        <v>77010000025</v>
      </c>
      <c r="B167" s="20">
        <v>1</v>
      </c>
      <c r="C167" s="21" t="s">
        <v>0</v>
      </c>
      <c r="D167" s="20">
        <v>5.54</v>
      </c>
      <c r="E167" s="36">
        <v>13</v>
      </c>
      <c r="H167" t="str">
        <f>TRIM(Таблиця1[[#This Row],[Абонент]])</f>
        <v>77010000025</v>
      </c>
      <c r="J167">
        <f t="shared" si="2"/>
        <v>77010000025</v>
      </c>
    </row>
    <row r="168" spans="1:10" x14ac:dyDescent="0.3">
      <c r="A168" s="42">
        <v>77010000034</v>
      </c>
      <c r="B168" s="20">
        <v>1</v>
      </c>
      <c r="C168" s="21" t="s">
        <v>0</v>
      </c>
      <c r="D168" s="20">
        <v>5.54</v>
      </c>
      <c r="E168" s="36">
        <v>13</v>
      </c>
      <c r="H168" t="str">
        <f>TRIM(Таблиця1[[#This Row],[Абонент]])</f>
        <v>77010000034</v>
      </c>
      <c r="J168">
        <f t="shared" si="2"/>
        <v>77010000034</v>
      </c>
    </row>
    <row r="169" spans="1:10" x14ac:dyDescent="0.3">
      <c r="A169" s="42">
        <v>77010000040</v>
      </c>
      <c r="B169" s="20">
        <v>1</v>
      </c>
      <c r="C169" s="21" t="s">
        <v>0</v>
      </c>
      <c r="D169" s="20">
        <v>5.54</v>
      </c>
      <c r="E169" s="36">
        <v>13</v>
      </c>
      <c r="H169" t="str">
        <f>TRIM(Таблиця1[[#This Row],[Абонент]])</f>
        <v>77010000040</v>
      </c>
      <c r="J169">
        <f t="shared" si="2"/>
        <v>77010000040</v>
      </c>
    </row>
    <row r="170" spans="1:10" x14ac:dyDescent="0.3">
      <c r="A170" s="42">
        <v>77010000044</v>
      </c>
      <c r="B170" s="20">
        <v>1</v>
      </c>
      <c r="C170" s="21" t="s">
        <v>0</v>
      </c>
      <c r="D170" s="20">
        <v>5.54</v>
      </c>
      <c r="E170" s="36">
        <v>13</v>
      </c>
      <c r="H170" t="str">
        <f>TRIM(Таблиця1[[#This Row],[Абонент]])</f>
        <v>77010000044</v>
      </c>
      <c r="J170">
        <f t="shared" si="2"/>
        <v>77010000044</v>
      </c>
    </row>
    <row r="171" spans="1:10" x14ac:dyDescent="0.3">
      <c r="A171" s="42">
        <v>77010000075</v>
      </c>
      <c r="B171" s="20">
        <v>1</v>
      </c>
      <c r="C171" s="21" t="s">
        <v>0</v>
      </c>
      <c r="D171" s="20">
        <v>5.54</v>
      </c>
      <c r="E171" s="36">
        <v>13</v>
      </c>
      <c r="H171" t="str">
        <f>TRIM(Таблиця1[[#This Row],[Абонент]])</f>
        <v>77010000075</v>
      </c>
      <c r="J171">
        <f t="shared" si="2"/>
        <v>77010000075</v>
      </c>
    </row>
    <row r="172" spans="1:10" x14ac:dyDescent="0.3">
      <c r="A172" s="42">
        <v>77010000050</v>
      </c>
      <c r="B172" s="20">
        <v>1</v>
      </c>
      <c r="C172" s="21" t="s">
        <v>0</v>
      </c>
      <c r="D172" s="20">
        <v>5.97</v>
      </c>
      <c r="E172" s="36">
        <v>14</v>
      </c>
      <c r="H172" t="str">
        <f>TRIM(Таблиця1[[#This Row],[Абонент]])</f>
        <v>77010000050</v>
      </c>
      <c r="J172">
        <f t="shared" si="2"/>
        <v>77010000050</v>
      </c>
    </row>
    <row r="173" spans="1:10" x14ac:dyDescent="0.3">
      <c r="A173" s="42">
        <v>77010000060</v>
      </c>
      <c r="B173" s="20">
        <v>1</v>
      </c>
      <c r="C173" s="21" t="s">
        <v>0</v>
      </c>
      <c r="D173" s="20">
        <v>5.97</v>
      </c>
      <c r="E173" s="36">
        <v>14</v>
      </c>
      <c r="H173" t="str">
        <f>TRIM(Таблиця1[[#This Row],[Абонент]])</f>
        <v>77010000060</v>
      </c>
      <c r="J173">
        <f t="shared" si="2"/>
        <v>77010000060</v>
      </c>
    </row>
    <row r="174" spans="1:10" x14ac:dyDescent="0.3">
      <c r="A174" s="42">
        <v>77010000038</v>
      </c>
      <c r="B174" s="20">
        <v>1</v>
      </c>
      <c r="C174" s="21" t="s">
        <v>2</v>
      </c>
      <c r="D174" s="20">
        <v>14.87</v>
      </c>
      <c r="E174" s="36">
        <v>14</v>
      </c>
      <c r="H174" t="str">
        <f>TRIM(Таблиця1[[#This Row],[Абонент]])</f>
        <v>77010000038</v>
      </c>
      <c r="J174" t="str">
        <f t="shared" si="2"/>
        <v/>
      </c>
    </row>
    <row r="175" spans="1:10" x14ac:dyDescent="0.3">
      <c r="A175" s="42">
        <v>77010000043</v>
      </c>
      <c r="B175" s="20">
        <v>1</v>
      </c>
      <c r="C175" s="21" t="s">
        <v>0</v>
      </c>
      <c r="D175" s="20">
        <v>5.97</v>
      </c>
      <c r="E175" s="36">
        <v>14</v>
      </c>
      <c r="H175" t="str">
        <f>TRIM(Таблиця1[[#This Row],[Абонент]])</f>
        <v>77010000043</v>
      </c>
      <c r="J175">
        <f t="shared" si="2"/>
        <v>77010000043</v>
      </c>
    </row>
    <row r="176" spans="1:10" x14ac:dyDescent="0.3">
      <c r="A176" s="42">
        <v>77010000081</v>
      </c>
      <c r="B176" s="20">
        <v>1</v>
      </c>
      <c r="C176" s="21" t="s">
        <v>0</v>
      </c>
      <c r="D176" s="20">
        <v>5.97</v>
      </c>
      <c r="E176" s="36">
        <v>14</v>
      </c>
      <c r="H176" t="str">
        <f>TRIM(Таблиця1[[#This Row],[Абонент]])</f>
        <v>77010000081</v>
      </c>
      <c r="J176">
        <f t="shared" si="2"/>
        <v>77010000081</v>
      </c>
    </row>
    <row r="177" spans="1:10" x14ac:dyDescent="0.3">
      <c r="A177" s="42">
        <v>77010000016</v>
      </c>
      <c r="B177" s="20">
        <v>1</v>
      </c>
      <c r="C177" s="21" t="s">
        <v>0</v>
      </c>
      <c r="D177" s="20">
        <v>5.97</v>
      </c>
      <c r="E177" s="36">
        <v>14</v>
      </c>
      <c r="H177" t="str">
        <f>TRIM(Таблиця1[[#This Row],[Абонент]])</f>
        <v>77010000016</v>
      </c>
      <c r="J177">
        <f t="shared" si="2"/>
        <v>77010000016</v>
      </c>
    </row>
    <row r="178" spans="1:10" x14ac:dyDescent="0.3">
      <c r="A178" s="42">
        <v>77010000023</v>
      </c>
      <c r="B178" s="20">
        <v>1</v>
      </c>
      <c r="C178" s="21" t="s">
        <v>0</v>
      </c>
      <c r="D178" s="20">
        <v>5.97</v>
      </c>
      <c r="E178" s="36">
        <v>14</v>
      </c>
      <c r="H178" t="str">
        <f>TRIM(Таблиця1[[#This Row],[Абонент]])</f>
        <v>77010000023</v>
      </c>
      <c r="J178">
        <f t="shared" si="2"/>
        <v>77010000023</v>
      </c>
    </row>
    <row r="179" spans="1:10" x14ac:dyDescent="0.3">
      <c r="A179" s="42">
        <v>77010000012</v>
      </c>
      <c r="B179" s="20">
        <v>1</v>
      </c>
      <c r="C179" s="21" t="s">
        <v>0</v>
      </c>
      <c r="D179" s="20">
        <v>5.97</v>
      </c>
      <c r="E179" s="36">
        <v>14</v>
      </c>
      <c r="H179" t="str">
        <f>TRIM(Таблиця1[[#This Row],[Абонент]])</f>
        <v>77010000012</v>
      </c>
      <c r="J179">
        <f t="shared" si="2"/>
        <v>77010000012</v>
      </c>
    </row>
    <row r="180" spans="1:10" x14ac:dyDescent="0.3">
      <c r="A180" s="42">
        <v>77010000024</v>
      </c>
      <c r="B180" s="20">
        <v>1</v>
      </c>
      <c r="C180" s="21" t="s">
        <v>0</v>
      </c>
      <c r="D180" s="20">
        <v>5.97</v>
      </c>
      <c r="E180" s="36">
        <v>14</v>
      </c>
      <c r="H180" t="str">
        <f>TRIM(Таблиця1[[#This Row],[Абонент]])</f>
        <v>77010000024</v>
      </c>
      <c r="J180">
        <f t="shared" si="2"/>
        <v>77010000024</v>
      </c>
    </row>
    <row r="181" spans="1:10" x14ac:dyDescent="0.3">
      <c r="A181" s="42">
        <v>77010000047</v>
      </c>
      <c r="B181" s="20">
        <v>1</v>
      </c>
      <c r="C181" s="21" t="s">
        <v>0</v>
      </c>
      <c r="D181" s="20">
        <v>6.39</v>
      </c>
      <c r="E181" s="36">
        <v>15</v>
      </c>
      <c r="H181" t="str">
        <f>TRIM(Таблиця1[[#This Row],[Абонент]])</f>
        <v>77010000047</v>
      </c>
      <c r="J181">
        <f t="shared" si="2"/>
        <v>77010000047</v>
      </c>
    </row>
    <row r="182" spans="1:10" x14ac:dyDescent="0.3">
      <c r="A182" s="42">
        <v>77010000055</v>
      </c>
      <c r="B182" s="20">
        <v>1</v>
      </c>
      <c r="C182" s="21" t="s">
        <v>0</v>
      </c>
      <c r="D182" s="20">
        <v>6.39</v>
      </c>
      <c r="E182" s="36">
        <v>15</v>
      </c>
      <c r="H182" t="str">
        <f>TRIM(Таблиця1[[#This Row],[Абонент]])</f>
        <v>77010000055</v>
      </c>
      <c r="J182">
        <f t="shared" si="2"/>
        <v>77010000055</v>
      </c>
    </row>
    <row r="183" spans="1:10" x14ac:dyDescent="0.3">
      <c r="A183" s="42">
        <v>77010000056</v>
      </c>
      <c r="B183" s="20">
        <v>1</v>
      </c>
      <c r="C183" s="21" t="s">
        <v>0</v>
      </c>
      <c r="D183" s="20">
        <v>6.39</v>
      </c>
      <c r="E183" s="36">
        <v>15</v>
      </c>
      <c r="H183" t="str">
        <f>TRIM(Таблиця1[[#This Row],[Абонент]])</f>
        <v>77010000056</v>
      </c>
      <c r="J183">
        <f t="shared" si="2"/>
        <v>77010000056</v>
      </c>
    </row>
    <row r="184" spans="1:10" x14ac:dyDescent="0.3">
      <c r="A184" s="42">
        <v>77010000042</v>
      </c>
      <c r="B184" s="20">
        <v>1</v>
      </c>
      <c r="C184" s="21" t="s">
        <v>0</v>
      </c>
      <c r="D184" s="20">
        <v>6.39</v>
      </c>
      <c r="E184" s="36">
        <v>15</v>
      </c>
      <c r="H184" t="str">
        <f>TRIM(Таблиця1[[#This Row],[Абонент]])</f>
        <v>77010000042</v>
      </c>
      <c r="J184">
        <f t="shared" si="2"/>
        <v>77010000042</v>
      </c>
    </row>
    <row r="185" spans="1:10" x14ac:dyDescent="0.3">
      <c r="A185" s="42">
        <v>77010000055</v>
      </c>
      <c r="B185" s="20">
        <v>1</v>
      </c>
      <c r="C185" s="21" t="s">
        <v>0</v>
      </c>
      <c r="D185" s="20">
        <v>6.39</v>
      </c>
      <c r="E185" s="36">
        <v>15</v>
      </c>
      <c r="H185" t="str">
        <f>TRIM(Таблиця1[[#This Row],[Абонент]])</f>
        <v>77010000055</v>
      </c>
      <c r="J185">
        <f t="shared" si="2"/>
        <v>77010000055</v>
      </c>
    </row>
    <row r="186" spans="1:10" x14ac:dyDescent="0.3">
      <c r="A186" s="42">
        <v>77010000059</v>
      </c>
      <c r="B186" s="20">
        <v>1</v>
      </c>
      <c r="C186" s="21" t="s">
        <v>0</v>
      </c>
      <c r="D186" s="20">
        <v>6.39</v>
      </c>
      <c r="E186" s="36">
        <v>15</v>
      </c>
      <c r="H186" t="str">
        <f>TRIM(Таблиця1[[#This Row],[Абонент]])</f>
        <v>77010000059</v>
      </c>
      <c r="J186">
        <f t="shared" si="2"/>
        <v>77010000059</v>
      </c>
    </row>
    <row r="187" spans="1:10" x14ac:dyDescent="0.3">
      <c r="A187" s="42">
        <v>77010000080</v>
      </c>
      <c r="B187" s="20">
        <v>1</v>
      </c>
      <c r="C187" s="21" t="s">
        <v>0</v>
      </c>
      <c r="D187" s="20">
        <v>6.39</v>
      </c>
      <c r="E187" s="36">
        <v>15</v>
      </c>
      <c r="H187" t="str">
        <f>TRIM(Таблиця1[[#This Row],[Абонент]])</f>
        <v>77010000080</v>
      </c>
      <c r="J187">
        <f t="shared" si="2"/>
        <v>77010000080</v>
      </c>
    </row>
    <row r="188" spans="1:10" x14ac:dyDescent="0.3">
      <c r="A188" s="42">
        <v>77010000087</v>
      </c>
      <c r="B188" s="20">
        <v>1</v>
      </c>
      <c r="C188" s="21" t="s">
        <v>0</v>
      </c>
      <c r="D188" s="20">
        <v>6.39</v>
      </c>
      <c r="E188" s="36">
        <v>15</v>
      </c>
      <c r="H188" t="str">
        <f>TRIM(Таблиця1[[#This Row],[Абонент]])</f>
        <v>77010000087</v>
      </c>
      <c r="J188">
        <f t="shared" si="2"/>
        <v>77010000087</v>
      </c>
    </row>
    <row r="189" spans="1:10" x14ac:dyDescent="0.3">
      <c r="A189" s="42">
        <v>77010000096</v>
      </c>
      <c r="B189" s="20">
        <v>1</v>
      </c>
      <c r="C189" s="21" t="s">
        <v>0</v>
      </c>
      <c r="D189" s="20">
        <v>6.39</v>
      </c>
      <c r="E189" s="36">
        <v>15</v>
      </c>
      <c r="H189" t="str">
        <f>TRIM(Таблиця1[[#This Row],[Абонент]])</f>
        <v>77010000096</v>
      </c>
      <c r="J189">
        <f t="shared" si="2"/>
        <v>77010000096</v>
      </c>
    </row>
    <row r="190" spans="1:10" x14ac:dyDescent="0.3">
      <c r="A190" s="42">
        <v>77010000029</v>
      </c>
      <c r="B190" s="20">
        <v>1</v>
      </c>
      <c r="C190" s="21" t="s">
        <v>0</v>
      </c>
      <c r="D190" s="20">
        <v>6.39</v>
      </c>
      <c r="E190" s="36">
        <v>15</v>
      </c>
      <c r="H190" t="str">
        <f>TRIM(Таблиця1[[#This Row],[Абонент]])</f>
        <v>77010000029</v>
      </c>
      <c r="J190">
        <f t="shared" si="2"/>
        <v>77010000029</v>
      </c>
    </row>
    <row r="191" spans="1:10" x14ac:dyDescent="0.3">
      <c r="A191" s="42">
        <v>77010000021</v>
      </c>
      <c r="B191" s="20">
        <v>1</v>
      </c>
      <c r="C191" s="21" t="s">
        <v>0</v>
      </c>
      <c r="D191" s="20">
        <v>6.39</v>
      </c>
      <c r="E191" s="36">
        <v>15</v>
      </c>
      <c r="H191" t="str">
        <f>TRIM(Таблиця1[[#This Row],[Абонент]])</f>
        <v>77010000021</v>
      </c>
      <c r="J191">
        <f t="shared" si="2"/>
        <v>77010000021</v>
      </c>
    </row>
    <row r="192" spans="1:10" x14ac:dyDescent="0.3">
      <c r="A192" s="42">
        <v>77010000043</v>
      </c>
      <c r="B192" s="20">
        <v>1</v>
      </c>
      <c r="C192" s="21" t="s">
        <v>0</v>
      </c>
      <c r="D192" s="20">
        <v>6.39</v>
      </c>
      <c r="E192" s="36">
        <v>15</v>
      </c>
      <c r="H192" t="str">
        <f>TRIM(Таблиця1[[#This Row],[Абонент]])</f>
        <v>77010000043</v>
      </c>
      <c r="J192">
        <f t="shared" si="2"/>
        <v>77010000043</v>
      </c>
    </row>
    <row r="193" spans="1:11" x14ac:dyDescent="0.3">
      <c r="A193" s="42">
        <v>77010000072</v>
      </c>
      <c r="B193" s="20">
        <v>1</v>
      </c>
      <c r="C193" s="21" t="s">
        <v>0</v>
      </c>
      <c r="D193" s="20">
        <v>6.39</v>
      </c>
      <c r="E193" s="36">
        <v>15</v>
      </c>
      <c r="H193" t="str">
        <f>TRIM(Таблиця1[[#This Row],[Абонент]])</f>
        <v>77010000072</v>
      </c>
      <c r="J193">
        <f t="shared" si="2"/>
        <v>77010000072</v>
      </c>
    </row>
    <row r="194" spans="1:11" x14ac:dyDescent="0.3">
      <c r="A194" s="42">
        <v>77010000077</v>
      </c>
      <c r="B194" s="20">
        <v>1</v>
      </c>
      <c r="C194" s="21" t="s">
        <v>0</v>
      </c>
      <c r="D194" s="20">
        <v>6.39</v>
      </c>
      <c r="E194" s="36">
        <v>15</v>
      </c>
      <c r="H194" t="str">
        <f>TRIM(Таблиця1[[#This Row],[Абонент]])</f>
        <v>77010000077</v>
      </c>
      <c r="J194">
        <f t="shared" si="2"/>
        <v>77010000077</v>
      </c>
    </row>
    <row r="195" spans="1:11" x14ac:dyDescent="0.3">
      <c r="A195" s="42">
        <v>77010000049</v>
      </c>
      <c r="B195" s="20">
        <v>1</v>
      </c>
      <c r="C195" s="21" t="s">
        <v>0</v>
      </c>
      <c r="D195" s="20">
        <v>6.82</v>
      </c>
      <c r="E195" s="36">
        <v>16</v>
      </c>
      <c r="H195" t="str">
        <f>TRIM(Таблиця1[[#This Row],[Абонент]])</f>
        <v>77010000049</v>
      </c>
      <c r="J195">
        <f t="shared" ref="J195:J258" si="3">IF(C195="Внутри сети",A195,"")</f>
        <v>77010000049</v>
      </c>
    </row>
    <row r="196" spans="1:11" x14ac:dyDescent="0.3">
      <c r="A196" s="42">
        <v>77010000051</v>
      </c>
      <c r="B196" s="20">
        <v>1</v>
      </c>
      <c r="C196" s="21" t="s">
        <v>0</v>
      </c>
      <c r="D196" s="20">
        <v>6.82</v>
      </c>
      <c r="E196" s="36">
        <v>16</v>
      </c>
      <c r="H196" t="str">
        <f>TRIM(Таблиця1[[#This Row],[Абонент]])</f>
        <v>77010000051</v>
      </c>
      <c r="J196">
        <f t="shared" si="3"/>
        <v>77010000051</v>
      </c>
    </row>
    <row r="197" spans="1:11" x14ac:dyDescent="0.3">
      <c r="A197" s="42">
        <v>77010000071</v>
      </c>
      <c r="B197" s="20">
        <v>1</v>
      </c>
      <c r="C197" s="21" t="s">
        <v>0</v>
      </c>
      <c r="D197" s="20">
        <v>6.82</v>
      </c>
      <c r="E197" s="36">
        <v>16</v>
      </c>
      <c r="H197" t="str">
        <f>TRIM(Таблиця1[[#This Row],[Абонент]])</f>
        <v>77010000071</v>
      </c>
      <c r="J197">
        <f t="shared" si="3"/>
        <v>77010000071</v>
      </c>
      <c r="K197" t="str">
        <f t="array" ref="K197">IF(COUNTIFS('База данных'!B2:B624,6,'База данных'!C2:C624,"Внутри сети")=0,"Внутри сети","")&amp;IF(COUNTIFS('База данных'!B2:B624,6,'База данных'!C2:C624,"На других операторов")=0,IF(COUNTIFS('База данных'!B2:B624,6,'База данных'!C2:C624,"Внутри сети")=0,", ","")&amp;"На других операторов","")&amp;IF(COUNTIFS('База данных'!B2:B624,6,'База данных'!C2:C624,"На межнар")=0,IF(OR(COUNTIFS('База данных'!B2:B624,6,'База данных'!C2:C624,"Внутри сети")=0,COUNTIFS('База данных'!B2:B624,6,'База данных'!C2:C624,"На других операторов")=0),", ","")&amp;"На межнар","")&amp;IF(COUNTIFS('База данных'!B2:B624,6,'База данных'!C2:C624,"На городской")=0,IF(OR(COUNTIFS('База данных'!B2:B624,6,'База данных'!C2:C624,"Внутри сети")=0,COUNTIFS('База данных'!B2:B624,6,'База данных'!C2:C624,"На других операторов")=0,COUNTIFS('База данных'!B2:B624,6,'База данных'!C2:C624,"На межнар")=0),", ","")&amp;"На городской","")</f>
        <v>На городской</v>
      </c>
    </row>
    <row r="198" spans="1:11" x14ac:dyDescent="0.3">
      <c r="A198" s="42">
        <v>77010000072</v>
      </c>
      <c r="B198" s="20">
        <v>1</v>
      </c>
      <c r="C198" s="21" t="s">
        <v>0</v>
      </c>
      <c r="D198" s="20">
        <v>6.82</v>
      </c>
      <c r="E198" s="36">
        <v>16</v>
      </c>
      <c r="H198" t="str">
        <f>TRIM(Таблиця1[[#This Row],[Абонент]])</f>
        <v>77010000072</v>
      </c>
      <c r="J198">
        <f t="shared" si="3"/>
        <v>77010000072</v>
      </c>
    </row>
    <row r="199" spans="1:11" x14ac:dyDescent="0.3">
      <c r="A199" s="42">
        <v>77010000028</v>
      </c>
      <c r="B199" s="20">
        <v>1</v>
      </c>
      <c r="C199" s="21" t="s">
        <v>0</v>
      </c>
      <c r="D199" s="20">
        <v>6.82</v>
      </c>
      <c r="E199" s="36">
        <v>16</v>
      </c>
      <c r="H199" t="str">
        <f>TRIM(Таблиця1[[#This Row],[Абонент]])</f>
        <v>77010000028</v>
      </c>
      <c r="J199">
        <f t="shared" si="3"/>
        <v>77010000028</v>
      </c>
    </row>
    <row r="200" spans="1:11" x14ac:dyDescent="0.3">
      <c r="A200" s="42">
        <v>77010000030</v>
      </c>
      <c r="B200" s="20">
        <v>1</v>
      </c>
      <c r="C200" s="21" t="s">
        <v>1</v>
      </c>
      <c r="D200" s="20">
        <v>14.87</v>
      </c>
      <c r="E200" s="36">
        <v>16</v>
      </c>
      <c r="H200" t="str">
        <f>TRIM(Таблиця1[[#This Row],[Абонент]])</f>
        <v>77010000030</v>
      </c>
      <c r="J200" t="str">
        <f t="shared" si="3"/>
        <v/>
      </c>
    </row>
    <row r="201" spans="1:11" x14ac:dyDescent="0.3">
      <c r="A201" s="42">
        <v>77010000032</v>
      </c>
      <c r="B201" s="20">
        <v>1</v>
      </c>
      <c r="C201" s="21" t="s">
        <v>0</v>
      </c>
      <c r="D201" s="20">
        <v>6.82</v>
      </c>
      <c r="E201" s="36">
        <v>16</v>
      </c>
      <c r="H201" t="str">
        <f>TRIM(Таблиця1[[#This Row],[Абонент]])</f>
        <v>77010000032</v>
      </c>
      <c r="J201">
        <f t="shared" si="3"/>
        <v>77010000032</v>
      </c>
    </row>
    <row r="202" spans="1:11" x14ac:dyDescent="0.3">
      <c r="A202" s="42">
        <v>77010000004</v>
      </c>
      <c r="B202" s="20">
        <v>1</v>
      </c>
      <c r="C202" s="21" t="s">
        <v>0</v>
      </c>
      <c r="D202" s="20">
        <v>6.82</v>
      </c>
      <c r="E202" s="36">
        <v>16</v>
      </c>
      <c r="H202" t="str">
        <f>TRIM(Таблиця1[[#This Row],[Абонент]])</f>
        <v>77010000004</v>
      </c>
      <c r="J202">
        <f t="shared" si="3"/>
        <v>77010000004</v>
      </c>
    </row>
    <row r="203" spans="1:11" x14ac:dyDescent="0.3">
      <c r="A203" s="42">
        <v>77010000027</v>
      </c>
      <c r="B203" s="20">
        <v>1</v>
      </c>
      <c r="C203" s="21" t="s">
        <v>0</v>
      </c>
      <c r="D203" s="20">
        <v>6.82</v>
      </c>
      <c r="E203" s="36">
        <v>16</v>
      </c>
      <c r="H203" t="str">
        <f>TRIM(Таблиця1[[#This Row],[Абонент]])</f>
        <v>77010000027</v>
      </c>
      <c r="J203">
        <f t="shared" si="3"/>
        <v>77010000027</v>
      </c>
    </row>
    <row r="204" spans="1:11" x14ac:dyDescent="0.3">
      <c r="A204" s="42">
        <v>77010000084</v>
      </c>
      <c r="B204" s="20">
        <v>1</v>
      </c>
      <c r="C204" s="21" t="s">
        <v>0</v>
      </c>
      <c r="D204" s="20">
        <v>6.82</v>
      </c>
      <c r="E204" s="36">
        <v>16</v>
      </c>
      <c r="H204" t="str">
        <f>TRIM(Таблиця1[[#This Row],[Абонент]])</f>
        <v>77010000084</v>
      </c>
      <c r="J204">
        <f t="shared" si="3"/>
        <v>77010000084</v>
      </c>
    </row>
    <row r="205" spans="1:11" x14ac:dyDescent="0.3">
      <c r="A205" s="42">
        <v>77010000053</v>
      </c>
      <c r="B205" s="20">
        <v>1</v>
      </c>
      <c r="C205" s="21" t="s">
        <v>0</v>
      </c>
      <c r="D205" s="20">
        <v>7.25</v>
      </c>
      <c r="E205" s="36">
        <v>17</v>
      </c>
      <c r="H205" t="str">
        <f>TRIM(Таблиця1[[#This Row],[Абонент]])</f>
        <v>77010000053</v>
      </c>
      <c r="J205">
        <f t="shared" si="3"/>
        <v>77010000053</v>
      </c>
    </row>
    <row r="206" spans="1:11" x14ac:dyDescent="0.3">
      <c r="A206" s="42">
        <v>77010000001</v>
      </c>
      <c r="B206" s="20">
        <v>1</v>
      </c>
      <c r="C206" s="21" t="s">
        <v>1</v>
      </c>
      <c r="D206" s="20">
        <v>14.87</v>
      </c>
      <c r="E206" s="36">
        <v>17</v>
      </c>
      <c r="H206" t="str">
        <f>TRIM(Таблиця1[[#This Row],[Абонент]])</f>
        <v>77010000001</v>
      </c>
      <c r="J206" t="str">
        <f t="shared" si="3"/>
        <v/>
      </c>
    </row>
    <row r="207" spans="1:11" x14ac:dyDescent="0.3">
      <c r="A207" s="42">
        <v>77010000008</v>
      </c>
      <c r="B207" s="20">
        <v>1</v>
      </c>
      <c r="C207" s="21" t="s">
        <v>2</v>
      </c>
      <c r="D207" s="20">
        <v>14.87</v>
      </c>
      <c r="E207" s="36">
        <v>17</v>
      </c>
      <c r="H207" t="str">
        <f>TRIM(Таблиця1[[#This Row],[Абонент]])</f>
        <v>77010000008</v>
      </c>
      <c r="J207" t="str">
        <f t="shared" si="3"/>
        <v/>
      </c>
    </row>
    <row r="208" spans="1:11" x14ac:dyDescent="0.3">
      <c r="A208" s="42">
        <v>77010000019</v>
      </c>
      <c r="B208" s="20">
        <v>1</v>
      </c>
      <c r="C208" s="21" t="s">
        <v>0</v>
      </c>
      <c r="D208" s="20">
        <v>7.25</v>
      </c>
      <c r="E208" s="36">
        <v>17</v>
      </c>
      <c r="H208" t="str">
        <f>TRIM(Таблиця1[[#This Row],[Абонент]])</f>
        <v>77010000019</v>
      </c>
      <c r="J208">
        <f t="shared" si="3"/>
        <v>77010000019</v>
      </c>
    </row>
    <row r="209" spans="1:10" x14ac:dyDescent="0.3">
      <c r="A209" s="42">
        <v>77010000038</v>
      </c>
      <c r="B209" s="20">
        <v>1</v>
      </c>
      <c r="C209" s="21" t="s">
        <v>0</v>
      </c>
      <c r="D209" s="20">
        <v>7.25</v>
      </c>
      <c r="E209" s="36">
        <v>17</v>
      </c>
      <c r="H209" t="str">
        <f>TRIM(Таблиця1[[#This Row],[Абонент]])</f>
        <v>77010000038</v>
      </c>
      <c r="J209">
        <f t="shared" si="3"/>
        <v>77010000038</v>
      </c>
    </row>
    <row r="210" spans="1:10" x14ac:dyDescent="0.3">
      <c r="A210" s="42">
        <v>77010000028</v>
      </c>
      <c r="B210" s="20">
        <v>1</v>
      </c>
      <c r="C210" s="21" t="s">
        <v>0</v>
      </c>
      <c r="D210" s="20">
        <v>7.25</v>
      </c>
      <c r="E210" s="36">
        <v>17</v>
      </c>
      <c r="H210" t="str">
        <f>TRIM(Таблиця1[[#This Row],[Абонент]])</f>
        <v>77010000028</v>
      </c>
      <c r="J210">
        <f t="shared" si="3"/>
        <v>77010000028</v>
      </c>
    </row>
    <row r="211" spans="1:10" x14ac:dyDescent="0.3">
      <c r="A211" s="42">
        <v>77010000037</v>
      </c>
      <c r="B211" s="20">
        <v>1</v>
      </c>
      <c r="C211" s="21" t="s">
        <v>0</v>
      </c>
      <c r="D211" s="20">
        <v>7.25</v>
      </c>
      <c r="E211" s="36">
        <v>17</v>
      </c>
      <c r="H211" t="str">
        <f>TRIM(Таблиця1[[#This Row],[Абонент]])</f>
        <v>77010000037</v>
      </c>
      <c r="J211">
        <f t="shared" si="3"/>
        <v>77010000037</v>
      </c>
    </row>
    <row r="212" spans="1:10" x14ac:dyDescent="0.3">
      <c r="A212" s="42">
        <v>77010000079</v>
      </c>
      <c r="B212" s="20">
        <v>1</v>
      </c>
      <c r="C212" s="21" t="s">
        <v>2</v>
      </c>
      <c r="D212" s="20">
        <v>14.87</v>
      </c>
      <c r="E212" s="36">
        <v>18</v>
      </c>
      <c r="H212" t="str">
        <f>TRIM(Таблиця1[[#This Row],[Абонент]])</f>
        <v>77010000079</v>
      </c>
      <c r="J212" t="str">
        <f t="shared" si="3"/>
        <v/>
      </c>
    </row>
    <row r="213" spans="1:10" x14ac:dyDescent="0.3">
      <c r="A213" s="42">
        <v>77010000024</v>
      </c>
      <c r="B213" s="20">
        <v>1</v>
      </c>
      <c r="C213" s="21" t="s">
        <v>0</v>
      </c>
      <c r="D213" s="20">
        <v>7.67</v>
      </c>
      <c r="E213" s="36">
        <v>18</v>
      </c>
      <c r="H213" t="str">
        <f>TRIM(Таблиця1[[#This Row],[Абонент]])</f>
        <v>77010000024</v>
      </c>
      <c r="J213">
        <f t="shared" si="3"/>
        <v>77010000024</v>
      </c>
    </row>
    <row r="214" spans="1:10" x14ac:dyDescent="0.3">
      <c r="A214" s="42">
        <v>77010000041</v>
      </c>
      <c r="B214" s="20">
        <v>1</v>
      </c>
      <c r="C214" s="21" t="s">
        <v>0</v>
      </c>
      <c r="D214" s="20">
        <v>7.67</v>
      </c>
      <c r="E214" s="36">
        <v>18</v>
      </c>
      <c r="H214" t="str">
        <f>TRIM(Таблиця1[[#This Row],[Абонент]])</f>
        <v>77010000041</v>
      </c>
      <c r="J214">
        <f t="shared" si="3"/>
        <v>77010000041</v>
      </c>
    </row>
    <row r="215" spans="1:10" x14ac:dyDescent="0.3">
      <c r="A215" s="42">
        <v>77010000022</v>
      </c>
      <c r="B215" s="20">
        <v>1</v>
      </c>
      <c r="C215" s="21" t="s">
        <v>0</v>
      </c>
      <c r="D215" s="20">
        <v>7.67</v>
      </c>
      <c r="E215" s="36">
        <v>18</v>
      </c>
      <c r="H215" t="str">
        <f>TRIM(Таблиця1[[#This Row],[Абонент]])</f>
        <v>77010000022</v>
      </c>
      <c r="J215">
        <f t="shared" si="3"/>
        <v>77010000022</v>
      </c>
    </row>
    <row r="216" spans="1:10" x14ac:dyDescent="0.3">
      <c r="A216" s="42">
        <v>77010000033</v>
      </c>
      <c r="B216" s="20">
        <v>1</v>
      </c>
      <c r="C216" s="21" t="s">
        <v>1</v>
      </c>
      <c r="D216" s="20">
        <v>14.87</v>
      </c>
      <c r="E216" s="36">
        <v>18</v>
      </c>
      <c r="H216" t="str">
        <f>TRIM(Таблиця1[[#This Row],[Абонент]])</f>
        <v>77010000033</v>
      </c>
      <c r="J216" t="str">
        <f t="shared" si="3"/>
        <v/>
      </c>
    </row>
    <row r="217" spans="1:10" x14ac:dyDescent="0.3">
      <c r="A217" s="42">
        <v>77010000058</v>
      </c>
      <c r="B217" s="20">
        <v>1</v>
      </c>
      <c r="C217" s="21" t="s">
        <v>0</v>
      </c>
      <c r="D217" s="20">
        <v>7.67</v>
      </c>
      <c r="E217" s="36">
        <v>18</v>
      </c>
      <c r="H217" t="str">
        <f>TRIM(Таблиця1[[#This Row],[Абонент]])</f>
        <v>77010000058</v>
      </c>
      <c r="J217">
        <f t="shared" si="3"/>
        <v>77010000058</v>
      </c>
    </row>
    <row r="218" spans="1:10" x14ac:dyDescent="0.3">
      <c r="A218" s="42">
        <v>77010000062</v>
      </c>
      <c r="B218" s="20">
        <v>1</v>
      </c>
      <c r="C218" s="21" t="s">
        <v>0</v>
      </c>
      <c r="D218" s="20">
        <v>8.1</v>
      </c>
      <c r="E218" s="36">
        <v>19</v>
      </c>
      <c r="H218" t="str">
        <f>TRIM(Таблиця1[[#This Row],[Абонент]])</f>
        <v>77010000062</v>
      </c>
      <c r="J218">
        <f t="shared" si="3"/>
        <v>77010000062</v>
      </c>
    </row>
    <row r="219" spans="1:10" x14ac:dyDescent="0.3">
      <c r="A219" s="42">
        <v>77010000069</v>
      </c>
      <c r="B219" s="20">
        <v>1</v>
      </c>
      <c r="C219" s="21" t="s">
        <v>4</v>
      </c>
      <c r="D219" s="20">
        <v>14.01</v>
      </c>
      <c r="E219" s="36">
        <v>19</v>
      </c>
      <c r="H219" t="str">
        <f>TRIM(Таблиця1[[#This Row],[Абонент]])</f>
        <v>77010000069</v>
      </c>
      <c r="J219" t="str">
        <f t="shared" si="3"/>
        <v/>
      </c>
    </row>
    <row r="220" spans="1:10" x14ac:dyDescent="0.3">
      <c r="A220" s="42">
        <v>77010000070</v>
      </c>
      <c r="B220" s="20">
        <v>1</v>
      </c>
      <c r="C220" s="21" t="s">
        <v>4</v>
      </c>
      <c r="D220" s="20">
        <v>0</v>
      </c>
      <c r="E220" s="36">
        <v>19</v>
      </c>
      <c r="H220" t="str">
        <f>TRIM(Таблиця1[[#This Row],[Абонент]])</f>
        <v>77010000070</v>
      </c>
      <c r="J220" t="str">
        <f t="shared" si="3"/>
        <v/>
      </c>
    </row>
    <row r="221" spans="1:10" x14ac:dyDescent="0.3">
      <c r="A221" s="42">
        <v>77010000054</v>
      </c>
      <c r="B221" s="20">
        <v>1</v>
      </c>
      <c r="C221" s="21" t="s">
        <v>0</v>
      </c>
      <c r="D221" s="20">
        <v>8.1</v>
      </c>
      <c r="E221" s="36">
        <v>19</v>
      </c>
      <c r="H221" t="str">
        <f>TRIM(Таблиця1[[#This Row],[Абонент]])</f>
        <v>77010000054</v>
      </c>
      <c r="J221">
        <f t="shared" si="3"/>
        <v>77010000054</v>
      </c>
    </row>
    <row r="222" spans="1:10" x14ac:dyDescent="0.3">
      <c r="A222" s="42">
        <v>77010000010</v>
      </c>
      <c r="B222" s="20">
        <v>1</v>
      </c>
      <c r="C222" s="21" t="s">
        <v>0</v>
      </c>
      <c r="D222" s="20">
        <v>8.52</v>
      </c>
      <c r="E222" s="36">
        <v>20</v>
      </c>
      <c r="H222" t="str">
        <f>TRIM(Таблиця1[[#This Row],[Абонент]])</f>
        <v>77010000010</v>
      </c>
      <c r="J222">
        <f t="shared" si="3"/>
        <v>77010000010</v>
      </c>
    </row>
    <row r="223" spans="1:10" x14ac:dyDescent="0.3">
      <c r="A223" s="42">
        <v>77010000012</v>
      </c>
      <c r="B223" s="20">
        <v>1</v>
      </c>
      <c r="C223" s="21" t="s">
        <v>4</v>
      </c>
      <c r="D223" s="20">
        <v>0</v>
      </c>
      <c r="E223" s="36">
        <v>20</v>
      </c>
      <c r="H223" t="str">
        <f>TRIM(Таблиця1[[#This Row],[Абонент]])</f>
        <v>77010000012</v>
      </c>
      <c r="J223" t="str">
        <f t="shared" si="3"/>
        <v/>
      </c>
    </row>
    <row r="224" spans="1:10" x14ac:dyDescent="0.3">
      <c r="A224" s="42">
        <v>77010000026</v>
      </c>
      <c r="B224" s="20">
        <v>1</v>
      </c>
      <c r="C224" s="21" t="s">
        <v>0</v>
      </c>
      <c r="D224" s="20">
        <v>8.52</v>
      </c>
      <c r="E224" s="36">
        <v>20</v>
      </c>
      <c r="H224" t="str">
        <f>TRIM(Таблиця1[[#This Row],[Абонент]])</f>
        <v>77010000026</v>
      </c>
      <c r="J224">
        <f t="shared" si="3"/>
        <v>77010000026</v>
      </c>
    </row>
    <row r="225" spans="1:10" x14ac:dyDescent="0.3">
      <c r="A225" s="42">
        <v>77010000035</v>
      </c>
      <c r="B225" s="20">
        <v>1</v>
      </c>
      <c r="C225" s="21" t="s">
        <v>0</v>
      </c>
      <c r="D225" s="20">
        <v>8.52</v>
      </c>
      <c r="E225" s="36">
        <v>20</v>
      </c>
      <c r="H225" t="str">
        <f>TRIM(Таблиця1[[#This Row],[Абонент]])</f>
        <v>77010000035</v>
      </c>
      <c r="J225">
        <f t="shared" si="3"/>
        <v>77010000035</v>
      </c>
    </row>
    <row r="226" spans="1:10" x14ac:dyDescent="0.3">
      <c r="A226" s="42">
        <v>77010000077</v>
      </c>
      <c r="B226" s="20">
        <v>1</v>
      </c>
      <c r="C226" s="21" t="s">
        <v>0</v>
      </c>
      <c r="D226" s="20">
        <v>8.52</v>
      </c>
      <c r="E226" s="36">
        <v>20</v>
      </c>
      <c r="H226" t="str">
        <f>TRIM(Таблиця1[[#This Row],[Абонент]])</f>
        <v>77010000077</v>
      </c>
      <c r="J226">
        <f t="shared" si="3"/>
        <v>77010000077</v>
      </c>
    </row>
    <row r="227" spans="1:10" x14ac:dyDescent="0.3">
      <c r="A227" s="42">
        <v>77010000094</v>
      </c>
      <c r="B227" s="20">
        <v>1</v>
      </c>
      <c r="C227" s="21" t="s">
        <v>0</v>
      </c>
      <c r="D227" s="20">
        <v>8.9499999999999993</v>
      </c>
      <c r="E227" s="36">
        <v>21</v>
      </c>
      <c r="H227" t="str">
        <f>TRIM(Таблиця1[[#This Row],[Абонент]])</f>
        <v>77010000094</v>
      </c>
      <c r="J227">
        <f t="shared" si="3"/>
        <v>77010000094</v>
      </c>
    </row>
    <row r="228" spans="1:10" x14ac:dyDescent="0.3">
      <c r="A228" s="42">
        <v>77010000013</v>
      </c>
      <c r="B228" s="20">
        <v>1</v>
      </c>
      <c r="C228" s="21" t="s">
        <v>0</v>
      </c>
      <c r="D228" s="20">
        <v>8.9499999999999993</v>
      </c>
      <c r="E228" s="36">
        <v>21</v>
      </c>
      <c r="H228" t="str">
        <f>TRIM(Таблиця1[[#This Row],[Абонент]])</f>
        <v>77010000013</v>
      </c>
      <c r="J228">
        <f t="shared" si="3"/>
        <v>77010000013</v>
      </c>
    </row>
    <row r="229" spans="1:10" x14ac:dyDescent="0.3">
      <c r="A229" s="42">
        <v>77010000005</v>
      </c>
      <c r="B229" s="20">
        <v>1</v>
      </c>
      <c r="C229" s="21" t="s">
        <v>2</v>
      </c>
      <c r="D229" s="20">
        <v>22.3</v>
      </c>
      <c r="E229" s="36">
        <v>21</v>
      </c>
      <c r="H229" t="str">
        <f>TRIM(Таблиця1[[#This Row],[Абонент]])</f>
        <v>77010000005</v>
      </c>
      <c r="J229" t="str">
        <f t="shared" si="3"/>
        <v/>
      </c>
    </row>
    <row r="230" spans="1:10" x14ac:dyDescent="0.3">
      <c r="A230" s="42">
        <v>77010000059</v>
      </c>
      <c r="B230" s="20">
        <v>1</v>
      </c>
      <c r="C230" s="21" t="s">
        <v>0</v>
      </c>
      <c r="D230" s="20">
        <v>8.9499999999999993</v>
      </c>
      <c r="E230" s="36">
        <v>21</v>
      </c>
      <c r="H230" t="str">
        <f>TRIM(Таблиця1[[#This Row],[Абонент]])</f>
        <v>77010000059</v>
      </c>
      <c r="J230">
        <f t="shared" si="3"/>
        <v>77010000059</v>
      </c>
    </row>
    <row r="231" spans="1:10" x14ac:dyDescent="0.3">
      <c r="A231" s="42">
        <v>77010000082</v>
      </c>
      <c r="B231" s="20">
        <v>1</v>
      </c>
      <c r="C231" s="21" t="s">
        <v>0</v>
      </c>
      <c r="D231" s="20">
        <v>8.9499999999999993</v>
      </c>
      <c r="E231" s="36">
        <v>21</v>
      </c>
      <c r="H231" t="str">
        <f>TRIM(Таблиця1[[#This Row],[Абонент]])</f>
        <v>77010000082</v>
      </c>
      <c r="J231">
        <f t="shared" si="3"/>
        <v>77010000082</v>
      </c>
    </row>
    <row r="232" spans="1:10" x14ac:dyDescent="0.3">
      <c r="A232" s="42">
        <v>77010000091</v>
      </c>
      <c r="B232" s="20">
        <v>1</v>
      </c>
      <c r="C232" s="21" t="s">
        <v>0</v>
      </c>
      <c r="D232" s="20">
        <v>9.3800000000000008</v>
      </c>
      <c r="E232" s="36">
        <v>22</v>
      </c>
      <c r="H232" t="str">
        <f>TRIM(Таблиця1[[#This Row],[Абонент]])</f>
        <v>77010000091</v>
      </c>
      <c r="J232">
        <f t="shared" si="3"/>
        <v>77010000091</v>
      </c>
    </row>
    <row r="233" spans="1:10" x14ac:dyDescent="0.3">
      <c r="A233" s="42">
        <v>77010000036</v>
      </c>
      <c r="B233" s="20">
        <v>1</v>
      </c>
      <c r="C233" s="21" t="s">
        <v>0</v>
      </c>
      <c r="D233" s="20">
        <v>9.3800000000000008</v>
      </c>
      <c r="E233" s="36">
        <v>22</v>
      </c>
      <c r="H233" t="str">
        <f>TRIM(Таблиця1[[#This Row],[Абонент]])</f>
        <v>77010000036</v>
      </c>
      <c r="J233">
        <f t="shared" si="3"/>
        <v>77010000036</v>
      </c>
    </row>
    <row r="234" spans="1:10" x14ac:dyDescent="0.3">
      <c r="A234" s="42">
        <v>77010000044</v>
      </c>
      <c r="B234" s="20">
        <v>1</v>
      </c>
      <c r="C234" s="21" t="s">
        <v>0</v>
      </c>
      <c r="D234" s="20">
        <v>2.5</v>
      </c>
      <c r="E234" s="36">
        <v>22</v>
      </c>
      <c r="H234" t="str">
        <f>TRIM(Таблиця1[[#This Row],[Абонент]])</f>
        <v>77010000044</v>
      </c>
      <c r="J234">
        <f t="shared" si="3"/>
        <v>77010000044</v>
      </c>
    </row>
    <row r="235" spans="1:10" x14ac:dyDescent="0.3">
      <c r="A235" s="42">
        <v>77010000020</v>
      </c>
      <c r="B235" s="20">
        <v>1</v>
      </c>
      <c r="C235" s="21" t="s">
        <v>0</v>
      </c>
      <c r="D235" s="20">
        <v>9.3800000000000008</v>
      </c>
      <c r="E235" s="36">
        <v>22</v>
      </c>
      <c r="H235" t="str">
        <f>TRIM(Таблиця1[[#This Row],[Абонент]])</f>
        <v>77010000020</v>
      </c>
      <c r="J235">
        <f t="shared" si="3"/>
        <v>77010000020</v>
      </c>
    </row>
    <row r="236" spans="1:10" x14ac:dyDescent="0.3">
      <c r="A236" s="42">
        <v>77010000083</v>
      </c>
      <c r="B236" s="20">
        <v>1</v>
      </c>
      <c r="C236" s="21" t="s">
        <v>0</v>
      </c>
      <c r="D236" s="20">
        <v>9.3800000000000008</v>
      </c>
      <c r="E236" s="36">
        <v>22</v>
      </c>
      <c r="H236" t="str">
        <f>TRIM(Таблиця1[[#This Row],[Абонент]])</f>
        <v>77010000083</v>
      </c>
      <c r="J236">
        <f t="shared" si="3"/>
        <v>77010000083</v>
      </c>
    </row>
    <row r="237" spans="1:10" x14ac:dyDescent="0.3">
      <c r="A237" s="42">
        <v>77010000061</v>
      </c>
      <c r="B237" s="20">
        <v>1</v>
      </c>
      <c r="C237" s="21" t="s">
        <v>0</v>
      </c>
      <c r="D237" s="20">
        <v>9.8000000000000007</v>
      </c>
      <c r="E237" s="36">
        <v>23</v>
      </c>
      <c r="H237" t="str">
        <f>TRIM(Таблиця1[[#This Row],[Абонент]])</f>
        <v>77010000061</v>
      </c>
      <c r="J237">
        <f t="shared" si="3"/>
        <v>77010000061</v>
      </c>
    </row>
    <row r="238" spans="1:10" x14ac:dyDescent="0.3">
      <c r="A238" s="42">
        <v>77010000015</v>
      </c>
      <c r="B238" s="20">
        <v>1</v>
      </c>
      <c r="C238" s="21" t="s">
        <v>0</v>
      </c>
      <c r="D238" s="20">
        <v>9.8000000000000007</v>
      </c>
      <c r="E238" s="36">
        <v>23</v>
      </c>
      <c r="H238" t="str">
        <f>TRIM(Таблиця1[[#This Row],[Абонент]])</f>
        <v>77010000015</v>
      </c>
      <c r="J238">
        <f t="shared" si="3"/>
        <v>77010000015</v>
      </c>
    </row>
    <row r="239" spans="1:10" x14ac:dyDescent="0.3">
      <c r="A239" s="42">
        <v>77010000025</v>
      </c>
      <c r="B239" s="20">
        <v>1</v>
      </c>
      <c r="C239" s="21" t="s">
        <v>0</v>
      </c>
      <c r="D239" s="20">
        <v>9.8000000000000007</v>
      </c>
      <c r="E239" s="36">
        <v>23</v>
      </c>
      <c r="H239" t="str">
        <f>TRIM(Таблиця1[[#This Row],[Абонент]])</f>
        <v>77010000025</v>
      </c>
      <c r="J239">
        <f t="shared" si="3"/>
        <v>77010000025</v>
      </c>
    </row>
    <row r="240" spans="1:10" x14ac:dyDescent="0.3">
      <c r="A240" s="42">
        <v>77010000007</v>
      </c>
      <c r="B240" s="20">
        <v>1</v>
      </c>
      <c r="C240" s="21" t="s">
        <v>0</v>
      </c>
      <c r="D240" s="20">
        <v>10.23</v>
      </c>
      <c r="E240" s="36">
        <v>24</v>
      </c>
      <c r="H240" t="str">
        <f>TRIM(Таблиця1[[#This Row],[Абонент]])</f>
        <v>77010000007</v>
      </c>
      <c r="J240">
        <f t="shared" si="3"/>
        <v>77010000007</v>
      </c>
    </row>
    <row r="241" spans="1:10" x14ac:dyDescent="0.3">
      <c r="A241" s="42">
        <v>77010000041</v>
      </c>
      <c r="B241" s="20">
        <v>1</v>
      </c>
      <c r="C241" s="21" t="s">
        <v>0</v>
      </c>
      <c r="D241" s="20">
        <v>10.23</v>
      </c>
      <c r="E241" s="36">
        <v>24</v>
      </c>
      <c r="H241" t="str">
        <f>TRIM(Таблиця1[[#This Row],[Абонент]])</f>
        <v>77010000041</v>
      </c>
      <c r="J241">
        <f t="shared" si="3"/>
        <v>77010000041</v>
      </c>
    </row>
    <row r="242" spans="1:10" x14ac:dyDescent="0.3">
      <c r="A242" s="42">
        <v>77010000050</v>
      </c>
      <c r="B242" s="20">
        <v>1</v>
      </c>
      <c r="C242" s="21" t="s">
        <v>0</v>
      </c>
      <c r="D242" s="20">
        <v>10.23</v>
      </c>
      <c r="E242" s="36">
        <v>24</v>
      </c>
      <c r="H242" t="str">
        <f>TRIM(Таблиця1[[#This Row],[Абонент]])</f>
        <v>77010000050</v>
      </c>
      <c r="J242">
        <f t="shared" si="3"/>
        <v>77010000050</v>
      </c>
    </row>
    <row r="243" spans="1:10" x14ac:dyDescent="0.3">
      <c r="A243" s="42">
        <v>77010000075</v>
      </c>
      <c r="B243" s="20">
        <v>1</v>
      </c>
      <c r="C243" s="21" t="s">
        <v>0</v>
      </c>
      <c r="D243" s="20">
        <v>10.66</v>
      </c>
      <c r="E243" s="36">
        <v>25</v>
      </c>
      <c r="H243" t="str">
        <f>TRIM(Таблиця1[[#This Row],[Абонент]])</f>
        <v>77010000075</v>
      </c>
      <c r="J243">
        <f t="shared" si="3"/>
        <v>77010000075</v>
      </c>
    </row>
    <row r="244" spans="1:10" x14ac:dyDescent="0.3">
      <c r="A244" s="42">
        <v>77010000081</v>
      </c>
      <c r="B244" s="20">
        <v>1</v>
      </c>
      <c r="C244" s="21" t="s">
        <v>1</v>
      </c>
      <c r="D244" s="20">
        <v>22.3</v>
      </c>
      <c r="E244" s="36">
        <v>26</v>
      </c>
      <c r="H244" t="str">
        <f>TRIM(Таблиця1[[#This Row],[Абонент]])</f>
        <v>77010000081</v>
      </c>
      <c r="J244" t="str">
        <f t="shared" si="3"/>
        <v/>
      </c>
    </row>
    <row r="245" spans="1:10" x14ac:dyDescent="0.3">
      <c r="A245" s="42">
        <v>77010000077</v>
      </c>
      <c r="B245" s="20">
        <v>1</v>
      </c>
      <c r="C245" s="21" t="s">
        <v>0</v>
      </c>
      <c r="D245" s="20">
        <v>11.08</v>
      </c>
      <c r="E245" s="36">
        <v>26</v>
      </c>
      <c r="H245" t="str">
        <f>TRIM(Таблиця1[[#This Row],[Абонент]])</f>
        <v>77010000077</v>
      </c>
      <c r="J245">
        <f t="shared" si="3"/>
        <v>77010000077</v>
      </c>
    </row>
    <row r="246" spans="1:10" x14ac:dyDescent="0.3">
      <c r="A246" s="42">
        <v>77010000003</v>
      </c>
      <c r="B246" s="20">
        <v>1</v>
      </c>
      <c r="C246" s="21" t="s">
        <v>1</v>
      </c>
      <c r="D246" s="20">
        <v>22.3</v>
      </c>
      <c r="E246" s="36">
        <v>27</v>
      </c>
      <c r="H246" t="str">
        <f>TRIM(Таблиця1[[#This Row],[Абонент]])</f>
        <v>77010000003</v>
      </c>
      <c r="J246" t="str">
        <f t="shared" si="3"/>
        <v/>
      </c>
    </row>
    <row r="247" spans="1:10" x14ac:dyDescent="0.3">
      <c r="A247" s="42">
        <v>77010000015</v>
      </c>
      <c r="B247" s="20">
        <v>1</v>
      </c>
      <c r="C247" s="21" t="s">
        <v>0</v>
      </c>
      <c r="D247" s="20">
        <v>11.51</v>
      </c>
      <c r="E247" s="36">
        <v>27</v>
      </c>
      <c r="H247" t="str">
        <f>TRIM(Таблиця1[[#This Row],[Абонент]])</f>
        <v>77010000015</v>
      </c>
      <c r="J247">
        <f t="shared" si="3"/>
        <v>77010000015</v>
      </c>
    </row>
    <row r="248" spans="1:10" x14ac:dyDescent="0.3">
      <c r="A248" s="42">
        <v>77010000030</v>
      </c>
      <c r="B248" s="20">
        <v>1</v>
      </c>
      <c r="C248" s="21" t="s">
        <v>0</v>
      </c>
      <c r="D248" s="20">
        <v>11.51</v>
      </c>
      <c r="E248" s="36">
        <v>27</v>
      </c>
      <c r="H248" t="str">
        <f>TRIM(Таблиця1[[#This Row],[Абонент]])</f>
        <v>77010000030</v>
      </c>
      <c r="J248">
        <f t="shared" si="3"/>
        <v>77010000030</v>
      </c>
    </row>
    <row r="249" spans="1:10" x14ac:dyDescent="0.3">
      <c r="A249" s="42">
        <v>77010000055</v>
      </c>
      <c r="B249" s="20">
        <v>1</v>
      </c>
      <c r="C249" s="21" t="s">
        <v>0</v>
      </c>
      <c r="D249" s="20">
        <v>11.51</v>
      </c>
      <c r="E249" s="36">
        <v>27</v>
      </c>
      <c r="H249" t="str">
        <f>TRIM(Таблиця1[[#This Row],[Абонент]])</f>
        <v>77010000055</v>
      </c>
      <c r="J249">
        <f t="shared" si="3"/>
        <v>77010000055</v>
      </c>
    </row>
    <row r="250" spans="1:10" x14ac:dyDescent="0.3">
      <c r="A250" s="42">
        <v>77010000083</v>
      </c>
      <c r="B250" s="20">
        <v>1</v>
      </c>
      <c r="C250" s="21" t="s">
        <v>0</v>
      </c>
      <c r="D250" s="20">
        <v>11.51</v>
      </c>
      <c r="E250" s="36">
        <v>27</v>
      </c>
      <c r="H250" t="str">
        <f>TRIM(Таблиця1[[#This Row],[Абонент]])</f>
        <v>77010000083</v>
      </c>
      <c r="J250">
        <f t="shared" si="3"/>
        <v>77010000083</v>
      </c>
    </row>
    <row r="251" spans="1:10" x14ac:dyDescent="0.3">
      <c r="A251" s="42">
        <v>77010000047</v>
      </c>
      <c r="B251" s="20">
        <v>1</v>
      </c>
      <c r="C251" s="21" t="s">
        <v>0</v>
      </c>
      <c r="D251" s="20">
        <v>11.93</v>
      </c>
      <c r="E251" s="36">
        <v>28</v>
      </c>
      <c r="H251" t="str">
        <f>TRIM(Таблиця1[[#This Row],[Абонент]])</f>
        <v>77010000047</v>
      </c>
      <c r="J251">
        <f t="shared" si="3"/>
        <v>77010000047</v>
      </c>
    </row>
    <row r="252" spans="1:10" x14ac:dyDescent="0.3">
      <c r="A252" s="42">
        <v>77010000080</v>
      </c>
      <c r="B252" s="20">
        <v>1</v>
      </c>
      <c r="C252" s="21" t="s">
        <v>0</v>
      </c>
      <c r="D252" s="20">
        <v>11.93</v>
      </c>
      <c r="E252" s="36">
        <v>28</v>
      </c>
      <c r="H252" t="str">
        <f>TRIM(Таблиця1[[#This Row],[Абонент]])</f>
        <v>77010000080</v>
      </c>
      <c r="J252">
        <f t="shared" si="3"/>
        <v>77010000080</v>
      </c>
    </row>
    <row r="253" spans="1:10" x14ac:dyDescent="0.3">
      <c r="A253" s="42">
        <v>77010000019</v>
      </c>
      <c r="B253" s="20">
        <v>1</v>
      </c>
      <c r="C253" s="21" t="s">
        <v>0</v>
      </c>
      <c r="D253" s="20">
        <v>14.06</v>
      </c>
      <c r="E253" s="36">
        <v>33</v>
      </c>
      <c r="H253" t="str">
        <f>TRIM(Таблиця1[[#This Row],[Абонент]])</f>
        <v>77010000019</v>
      </c>
      <c r="J253">
        <f t="shared" si="3"/>
        <v>77010000019</v>
      </c>
    </row>
    <row r="254" spans="1:10" x14ac:dyDescent="0.3">
      <c r="A254" s="42">
        <v>77010000112</v>
      </c>
      <c r="B254" s="20">
        <v>2</v>
      </c>
      <c r="C254" s="21" t="s">
        <v>0</v>
      </c>
      <c r="D254" s="20">
        <v>0.43</v>
      </c>
      <c r="E254" s="36">
        <v>1</v>
      </c>
      <c r="H254" t="str">
        <f>TRIM(Таблиця1[[#This Row],[Абонент]])</f>
        <v>77010000112</v>
      </c>
      <c r="J254">
        <f t="shared" si="3"/>
        <v>77010000112</v>
      </c>
    </row>
    <row r="255" spans="1:10" x14ac:dyDescent="0.3">
      <c r="A255" s="42">
        <v>77010000114</v>
      </c>
      <c r="B255" s="20">
        <v>2</v>
      </c>
      <c r="C255" s="21" t="s">
        <v>0</v>
      </c>
      <c r="D255" s="20">
        <v>0.43</v>
      </c>
      <c r="E255" s="36">
        <v>1</v>
      </c>
      <c r="H255" t="str">
        <f>TRIM(Таблиця1[[#This Row],[Абонент]])</f>
        <v>77010000114</v>
      </c>
      <c r="J255">
        <f t="shared" si="3"/>
        <v>77010000114</v>
      </c>
    </row>
    <row r="256" spans="1:10" x14ac:dyDescent="0.3">
      <c r="A256" s="42">
        <v>77010000118</v>
      </c>
      <c r="B256" s="20">
        <v>2</v>
      </c>
      <c r="C256" s="21" t="s">
        <v>0</v>
      </c>
      <c r="D256" s="20">
        <v>0.43</v>
      </c>
      <c r="E256" s="36">
        <v>1</v>
      </c>
      <c r="H256" t="str">
        <f>TRIM(Таблиця1[[#This Row],[Абонент]])</f>
        <v>77010000118</v>
      </c>
      <c r="J256">
        <f t="shared" si="3"/>
        <v>77010000118</v>
      </c>
    </row>
    <row r="257" spans="1:12" x14ac:dyDescent="0.3">
      <c r="A257" s="42">
        <v>77010000120</v>
      </c>
      <c r="B257" s="20">
        <v>2</v>
      </c>
      <c r="C257" s="21" t="s">
        <v>0</v>
      </c>
      <c r="D257" s="20">
        <v>0.43</v>
      </c>
      <c r="E257" s="36">
        <v>1</v>
      </c>
      <c r="H257" t="str">
        <f>TRIM(Таблиця1[[#This Row],[Абонент]])</f>
        <v>77010000120</v>
      </c>
      <c r="J257">
        <f t="shared" si="3"/>
        <v>77010000120</v>
      </c>
    </row>
    <row r="258" spans="1:12" x14ac:dyDescent="0.3">
      <c r="A258" s="42">
        <v>77010000115</v>
      </c>
      <c r="B258" s="20">
        <v>2</v>
      </c>
      <c r="C258" s="21" t="s">
        <v>0</v>
      </c>
      <c r="D258" s="20">
        <v>1.28</v>
      </c>
      <c r="E258" s="36">
        <v>3</v>
      </c>
      <c r="H258" t="str">
        <f>TRIM(Таблиця1[[#This Row],[Абонент]])</f>
        <v>77010000115</v>
      </c>
      <c r="J258">
        <f t="shared" si="3"/>
        <v>77010000115</v>
      </c>
    </row>
    <row r="259" spans="1:12" x14ac:dyDescent="0.3">
      <c r="A259" s="42">
        <v>77010000121</v>
      </c>
      <c r="B259" s="20">
        <v>2</v>
      </c>
      <c r="C259" s="21" t="s">
        <v>0</v>
      </c>
      <c r="D259" s="20">
        <v>1.28</v>
      </c>
      <c r="E259" s="36">
        <v>3</v>
      </c>
      <c r="H259" t="str">
        <f>TRIM(Таблиця1[[#This Row],[Абонент]])</f>
        <v>77010000121</v>
      </c>
      <c r="J259">
        <f t="shared" ref="J259:J322" si="4">IF(C259="Внутри сети",A259,"")</f>
        <v>77010000121</v>
      </c>
    </row>
    <row r="260" spans="1:12" x14ac:dyDescent="0.3">
      <c r="A260" s="42">
        <v>77010000125</v>
      </c>
      <c r="B260" s="20">
        <v>2</v>
      </c>
      <c r="C260" s="21" t="s">
        <v>0</v>
      </c>
      <c r="D260" s="20">
        <v>1.28</v>
      </c>
      <c r="E260" s="36">
        <v>3</v>
      </c>
      <c r="H260" t="str">
        <f>TRIM(Таблиця1[[#This Row],[Абонент]])</f>
        <v>77010000125</v>
      </c>
      <c r="J260">
        <f t="shared" si="4"/>
        <v>77010000125</v>
      </c>
    </row>
    <row r="261" spans="1:12" x14ac:dyDescent="0.3">
      <c r="A261" s="42">
        <v>77010000103</v>
      </c>
      <c r="B261" s="20">
        <v>2</v>
      </c>
      <c r="C261" s="21" t="s">
        <v>0</v>
      </c>
      <c r="D261" s="20">
        <v>1.28</v>
      </c>
      <c r="E261" s="36">
        <v>3</v>
      </c>
      <c r="H261" t="str">
        <f>TRIM(Таблиця1[[#This Row],[Абонент]])</f>
        <v>77010000103</v>
      </c>
      <c r="J261">
        <f t="shared" si="4"/>
        <v>77010000103</v>
      </c>
    </row>
    <row r="262" spans="1:12" x14ac:dyDescent="0.3">
      <c r="A262" s="42">
        <v>77010000125</v>
      </c>
      <c r="B262" s="20">
        <v>2</v>
      </c>
      <c r="C262" s="21" t="s">
        <v>0</v>
      </c>
      <c r="D262" s="20">
        <v>1.7</v>
      </c>
      <c r="E262" s="36">
        <v>4</v>
      </c>
      <c r="H262" t="str">
        <f>TRIM(Таблиця1[[#This Row],[Абонент]])</f>
        <v>77010000125</v>
      </c>
      <c r="J262">
        <f t="shared" si="4"/>
        <v>77010000125</v>
      </c>
    </row>
    <row r="263" spans="1:12" x14ac:dyDescent="0.3">
      <c r="A263" s="42">
        <v>77010000120</v>
      </c>
      <c r="B263" s="20">
        <v>2</v>
      </c>
      <c r="C263" s="21" t="s">
        <v>0</v>
      </c>
      <c r="D263" s="20">
        <v>2.13</v>
      </c>
      <c r="E263" s="36">
        <v>5</v>
      </c>
      <c r="H263" t="str">
        <f>TRIM(Таблиця1[[#This Row],[Абонент]])</f>
        <v>77010000120</v>
      </c>
      <c r="J263">
        <f t="shared" si="4"/>
        <v>77010000120</v>
      </c>
    </row>
    <row r="264" spans="1:12" x14ac:dyDescent="0.3">
      <c r="A264" s="42">
        <v>77010000110</v>
      </c>
      <c r="B264" s="20">
        <v>2</v>
      </c>
      <c r="C264" s="21" t="s">
        <v>0</v>
      </c>
      <c r="D264" s="20">
        <v>2.98</v>
      </c>
      <c r="E264" s="36">
        <v>7</v>
      </c>
      <c r="H264" t="str">
        <f>TRIM(Таблиця1[[#This Row],[Абонент]])</f>
        <v>77010000110</v>
      </c>
      <c r="J264">
        <f t="shared" si="4"/>
        <v>77010000110</v>
      </c>
    </row>
    <row r="265" spans="1:12" x14ac:dyDescent="0.3">
      <c r="A265" s="42">
        <v>77010000128</v>
      </c>
      <c r="B265" s="20">
        <v>2</v>
      </c>
      <c r="C265" s="21" t="s">
        <v>0</v>
      </c>
      <c r="D265" s="20">
        <v>2.98</v>
      </c>
      <c r="E265" s="36">
        <v>7</v>
      </c>
      <c r="H265" t="str">
        <f>TRIM(Таблиця1[[#This Row],[Абонент]])</f>
        <v>77010000128</v>
      </c>
      <c r="J265">
        <f t="shared" si="4"/>
        <v>77010000128</v>
      </c>
    </row>
    <row r="266" spans="1:12" x14ac:dyDescent="0.3">
      <c r="A266" s="42">
        <v>77010000126</v>
      </c>
      <c r="B266" s="20">
        <v>2</v>
      </c>
      <c r="C266" s="21" t="s">
        <v>0</v>
      </c>
      <c r="D266" s="20">
        <v>2.98</v>
      </c>
      <c r="E266" s="36">
        <v>7</v>
      </c>
      <c r="H266" t="str">
        <f>TRIM(Таблиця1[[#This Row],[Абонент]])</f>
        <v>77010000126</v>
      </c>
      <c r="J266">
        <f t="shared" si="4"/>
        <v>77010000126</v>
      </c>
    </row>
    <row r="267" spans="1:12" x14ac:dyDescent="0.3">
      <c r="A267" s="42">
        <v>77010000127</v>
      </c>
      <c r="B267" s="20">
        <v>2</v>
      </c>
      <c r="C267" s="21" t="s">
        <v>1</v>
      </c>
      <c r="D267" s="20">
        <v>7.84</v>
      </c>
      <c r="E267" s="36">
        <v>7</v>
      </c>
      <c r="H267" t="str">
        <f>TRIM(Таблиця1[[#This Row],[Абонент]])</f>
        <v>77010000127</v>
      </c>
      <c r="J267" t="str">
        <f t="shared" si="4"/>
        <v/>
      </c>
    </row>
    <row r="268" spans="1:12" x14ac:dyDescent="0.3">
      <c r="A268" s="42">
        <v>77010000100</v>
      </c>
      <c r="B268" s="20">
        <v>2</v>
      </c>
      <c r="C268" s="21" t="s">
        <v>0</v>
      </c>
      <c r="D268" s="20">
        <v>2.98</v>
      </c>
      <c r="E268" s="36">
        <v>7</v>
      </c>
      <c r="H268" t="str">
        <f>TRIM(Таблиця1[[#This Row],[Абонент]])</f>
        <v>77010000100</v>
      </c>
      <c r="J268">
        <f t="shared" si="4"/>
        <v>77010000100</v>
      </c>
    </row>
    <row r="269" spans="1:12" x14ac:dyDescent="0.3">
      <c r="A269" s="42">
        <v>77010000102</v>
      </c>
      <c r="B269" s="20">
        <v>2</v>
      </c>
      <c r="C269" s="21" t="s">
        <v>0</v>
      </c>
      <c r="D269" s="20">
        <v>2.98</v>
      </c>
      <c r="E269" s="36">
        <v>7</v>
      </c>
      <c r="H269" t="str">
        <f>TRIM(Таблиця1[[#This Row],[Абонент]])</f>
        <v>77010000102</v>
      </c>
      <c r="J269">
        <f t="shared" si="4"/>
        <v>77010000102</v>
      </c>
      <c r="L269" t="str">
        <f t="array" ref="L269">IF(SUMPRODUCT(('База данных'!B2:B624=6)*('База данных'!C2:C624="Внутри сети"))=0,"Внутри сети","")&amp;IF(SUMPRODUCT(('База данных'!B2:B624=6)*('База данных'!C2:C624="На других операторов"))=0,IF(SUMPRODUCT(('База данных'!B2:B624=6)*('База данных'!C2:C624="Внутри сети"))=0,", ","")&amp;"На других операторов","")&amp;IF(SUMPRODUCT(('База данных'!B2:B624=6)*('База данных'!C2:C624="На межнар"))=0,IF(OR(SUMPRODUCT(('База данных'!B2:B624=6)*('База данных'!C2:C624="Внутри сети"))=0,SUMPRODUCT(('База данных'!B2:B624=6)*('База данных'!C2:C624="На других операторов"))=0),", ","")&amp;"На межнар","")&amp;IF(SUMPRODUCT(('База данных'!B2:B624=6)*('База данных'!C2:C624="На городской"))=0,IF(OR(SUMPRODUCT(('База данных'!B2:B624=6)*('База данных'!C2:C624="Внутри сети"))=0,SUMPRODUCT(('База данных'!B2:B624=6)*('База данных'!C2:C624="На других операторов"))=0,SUMPRODUCT(('База данных'!B2:B624=6)*('База данных'!C2:C624="На межнар"))=0),", ","")&amp;"На городской","")</f>
        <v>На городской</v>
      </c>
    </row>
    <row r="270" spans="1:12" x14ac:dyDescent="0.3">
      <c r="A270" s="42">
        <v>77010000124</v>
      </c>
      <c r="B270" s="20">
        <v>2</v>
      </c>
      <c r="C270" s="21" t="s">
        <v>0</v>
      </c>
      <c r="D270" s="20">
        <v>3.41</v>
      </c>
      <c r="E270" s="36">
        <v>8</v>
      </c>
      <c r="H270" t="str">
        <f>TRIM(Таблиця1[[#This Row],[Абонент]])</f>
        <v>77010000124</v>
      </c>
      <c r="J270">
        <f t="shared" si="4"/>
        <v>77010000124</v>
      </c>
    </row>
    <row r="271" spans="1:12" x14ac:dyDescent="0.3">
      <c r="A271" s="42">
        <v>77010000111</v>
      </c>
      <c r="B271" s="20">
        <v>2</v>
      </c>
      <c r="C271" s="21" t="s">
        <v>0</v>
      </c>
      <c r="D271" s="20">
        <v>3.84</v>
      </c>
      <c r="E271" s="36">
        <v>9</v>
      </c>
      <c r="H271" t="str">
        <f>TRIM(Таблиця1[[#This Row],[Абонент]])</f>
        <v>77010000111</v>
      </c>
      <c r="J271">
        <f t="shared" si="4"/>
        <v>77010000111</v>
      </c>
    </row>
    <row r="272" spans="1:12" x14ac:dyDescent="0.3">
      <c r="A272" s="42">
        <v>77010000129</v>
      </c>
      <c r="B272" s="20">
        <v>2</v>
      </c>
      <c r="C272" s="21" t="s">
        <v>0</v>
      </c>
      <c r="D272" s="20">
        <v>3.84</v>
      </c>
      <c r="E272" s="36">
        <v>9</v>
      </c>
      <c r="H272" t="str">
        <f>TRIM(Таблиця1[[#This Row],[Абонент]])</f>
        <v>77010000129</v>
      </c>
      <c r="J272">
        <f t="shared" si="4"/>
        <v>77010000129</v>
      </c>
    </row>
    <row r="273" spans="1:10" x14ac:dyDescent="0.3">
      <c r="A273" s="42">
        <v>77010000110</v>
      </c>
      <c r="B273" s="20">
        <v>2</v>
      </c>
      <c r="C273" s="21" t="s">
        <v>0</v>
      </c>
      <c r="D273" s="20">
        <v>3.84</v>
      </c>
      <c r="E273" s="36">
        <v>9</v>
      </c>
      <c r="H273" t="str">
        <f>TRIM(Таблиця1[[#This Row],[Абонент]])</f>
        <v>77010000110</v>
      </c>
      <c r="J273">
        <f t="shared" si="4"/>
        <v>77010000110</v>
      </c>
    </row>
    <row r="274" spans="1:10" x14ac:dyDescent="0.3">
      <c r="A274" s="42">
        <v>77010000128</v>
      </c>
      <c r="B274" s="20">
        <v>2</v>
      </c>
      <c r="C274" s="21" t="s">
        <v>0</v>
      </c>
      <c r="D274" s="20">
        <v>4.26</v>
      </c>
      <c r="E274" s="36">
        <v>10</v>
      </c>
      <c r="H274" t="str">
        <f>TRIM(Таблиця1[[#This Row],[Абонент]])</f>
        <v>77010000128</v>
      </c>
      <c r="J274">
        <f t="shared" si="4"/>
        <v>77010000128</v>
      </c>
    </row>
    <row r="275" spans="1:10" x14ac:dyDescent="0.3">
      <c r="A275" s="42">
        <v>77010000120</v>
      </c>
      <c r="B275" s="20">
        <v>2</v>
      </c>
      <c r="C275" s="21" t="s">
        <v>0</v>
      </c>
      <c r="D275" s="20">
        <v>4.26</v>
      </c>
      <c r="E275" s="36">
        <v>10</v>
      </c>
      <c r="H275" t="str">
        <f>TRIM(Таблиця1[[#This Row],[Абонент]])</f>
        <v>77010000120</v>
      </c>
      <c r="J275">
        <f t="shared" si="4"/>
        <v>77010000120</v>
      </c>
    </row>
    <row r="276" spans="1:10" x14ac:dyDescent="0.3">
      <c r="A276" s="42">
        <v>77010000098</v>
      </c>
      <c r="B276" s="20">
        <v>2</v>
      </c>
      <c r="C276" s="21" t="s">
        <v>0</v>
      </c>
      <c r="D276" s="20">
        <v>2.2799999999999998</v>
      </c>
      <c r="E276" s="36">
        <v>10</v>
      </c>
      <c r="H276" t="str">
        <f>TRIM(Таблиця1[[#This Row],[Абонент]])</f>
        <v>77010000098</v>
      </c>
      <c r="J276">
        <f t="shared" si="4"/>
        <v>77010000098</v>
      </c>
    </row>
    <row r="277" spans="1:10" x14ac:dyDescent="0.3">
      <c r="A277" s="42">
        <v>77010000104</v>
      </c>
      <c r="B277" s="20">
        <v>2</v>
      </c>
      <c r="C277" s="21" t="s">
        <v>0</v>
      </c>
      <c r="D277" s="20">
        <v>4.26</v>
      </c>
      <c r="E277" s="36">
        <v>10</v>
      </c>
      <c r="H277" t="str">
        <f>TRIM(Таблиця1[[#This Row],[Абонент]])</f>
        <v>77010000104</v>
      </c>
      <c r="J277">
        <f t="shared" si="4"/>
        <v>77010000104</v>
      </c>
    </row>
    <row r="278" spans="1:10" x14ac:dyDescent="0.3">
      <c r="A278" s="42">
        <v>77010000127</v>
      </c>
      <c r="B278" s="20">
        <v>2</v>
      </c>
      <c r="C278" s="21" t="s">
        <v>1</v>
      </c>
      <c r="D278" s="20">
        <v>15.68</v>
      </c>
      <c r="E278" s="36">
        <v>13</v>
      </c>
      <c r="H278" t="str">
        <f>TRIM(Таблиця1[[#This Row],[Абонент]])</f>
        <v>77010000127</v>
      </c>
      <c r="J278" t="str">
        <f t="shared" si="4"/>
        <v/>
      </c>
    </row>
    <row r="279" spans="1:10" x14ac:dyDescent="0.3">
      <c r="A279" s="42">
        <v>77010000129</v>
      </c>
      <c r="B279" s="20">
        <v>2</v>
      </c>
      <c r="C279" s="21" t="s">
        <v>0</v>
      </c>
      <c r="D279" s="20">
        <v>5.54</v>
      </c>
      <c r="E279" s="36">
        <v>13</v>
      </c>
      <c r="H279" t="str">
        <f>TRIM(Таблиця1[[#This Row],[Абонент]])</f>
        <v>77010000129</v>
      </c>
      <c r="J279">
        <f t="shared" si="4"/>
        <v>77010000129</v>
      </c>
    </row>
    <row r="280" spans="1:10" x14ac:dyDescent="0.3">
      <c r="A280" s="42">
        <v>77010000106</v>
      </c>
      <c r="B280" s="20">
        <v>2</v>
      </c>
      <c r="C280" s="21" t="s">
        <v>0</v>
      </c>
      <c r="D280" s="20">
        <v>5.97</v>
      </c>
      <c r="E280" s="36">
        <v>14</v>
      </c>
      <c r="H280" t="str">
        <f>TRIM(Таблиця1[[#This Row],[Абонент]])</f>
        <v>77010000106</v>
      </c>
      <c r="J280">
        <f t="shared" si="4"/>
        <v>77010000106</v>
      </c>
    </row>
    <row r="281" spans="1:10" x14ac:dyDescent="0.3">
      <c r="A281" s="42">
        <v>77010000107</v>
      </c>
      <c r="B281" s="20">
        <v>2</v>
      </c>
      <c r="C281" s="21" t="s">
        <v>0</v>
      </c>
      <c r="D281" s="20">
        <v>5.97</v>
      </c>
      <c r="E281" s="36">
        <v>14</v>
      </c>
      <c r="H281" t="str">
        <f>TRIM(Таблиця1[[#This Row],[Абонент]])</f>
        <v>77010000107</v>
      </c>
      <c r="J281">
        <f t="shared" si="4"/>
        <v>77010000107</v>
      </c>
    </row>
    <row r="282" spans="1:10" x14ac:dyDescent="0.3">
      <c r="A282" s="42">
        <v>77010000105</v>
      </c>
      <c r="B282" s="20">
        <v>2</v>
      </c>
      <c r="C282" s="21" t="s">
        <v>0</v>
      </c>
      <c r="D282" s="20">
        <v>5.97</v>
      </c>
      <c r="E282" s="36">
        <v>14</v>
      </c>
      <c r="H282" t="str">
        <f>TRIM(Таблиця1[[#This Row],[Абонент]])</f>
        <v>77010000105</v>
      </c>
      <c r="J282">
        <f t="shared" si="4"/>
        <v>77010000105</v>
      </c>
    </row>
    <row r="283" spans="1:10" x14ac:dyDescent="0.3">
      <c r="A283" s="42">
        <v>77010000117</v>
      </c>
      <c r="B283" s="20">
        <v>2</v>
      </c>
      <c r="C283" s="21" t="s">
        <v>0</v>
      </c>
      <c r="D283" s="20">
        <v>7.25</v>
      </c>
      <c r="E283" s="36">
        <v>17</v>
      </c>
      <c r="H283" t="str">
        <f>TRIM(Таблиця1[[#This Row],[Абонент]])</f>
        <v>77010000117</v>
      </c>
      <c r="J283">
        <f t="shared" si="4"/>
        <v>77010000117</v>
      </c>
    </row>
    <row r="284" spans="1:10" x14ac:dyDescent="0.3">
      <c r="A284" s="42">
        <v>77010000123</v>
      </c>
      <c r="B284" s="20">
        <v>2</v>
      </c>
      <c r="C284" s="21" t="s">
        <v>0</v>
      </c>
      <c r="D284" s="20">
        <v>7.25</v>
      </c>
      <c r="E284" s="36">
        <v>17</v>
      </c>
      <c r="H284" t="str">
        <f>TRIM(Таблиця1[[#This Row],[Абонент]])</f>
        <v>77010000123</v>
      </c>
      <c r="J284">
        <f t="shared" si="4"/>
        <v>77010000123</v>
      </c>
    </row>
    <row r="285" spans="1:10" x14ac:dyDescent="0.3">
      <c r="A285" s="42">
        <v>77010000127</v>
      </c>
      <c r="B285" s="20">
        <v>2</v>
      </c>
      <c r="C285" s="21" t="s">
        <v>1</v>
      </c>
      <c r="D285" s="20">
        <v>15.68</v>
      </c>
      <c r="E285" s="36">
        <v>17</v>
      </c>
      <c r="H285" t="str">
        <f>TRIM(Таблиця1[[#This Row],[Абонент]])</f>
        <v>77010000127</v>
      </c>
      <c r="J285" t="str">
        <f t="shared" si="4"/>
        <v/>
      </c>
    </row>
    <row r="286" spans="1:10" x14ac:dyDescent="0.3">
      <c r="A286" s="42">
        <v>77010000105</v>
      </c>
      <c r="B286" s="20">
        <v>2</v>
      </c>
      <c r="C286" s="21" t="s">
        <v>0</v>
      </c>
      <c r="D286" s="20">
        <v>7.67</v>
      </c>
      <c r="E286" s="36">
        <v>18</v>
      </c>
      <c r="H286" t="str">
        <f>TRIM(Таблиця1[[#This Row],[Абонент]])</f>
        <v>77010000105</v>
      </c>
      <c r="J286">
        <f t="shared" si="4"/>
        <v>77010000105</v>
      </c>
    </row>
    <row r="287" spans="1:10" x14ac:dyDescent="0.3">
      <c r="A287" s="42">
        <v>77010000113</v>
      </c>
      <c r="B287" s="20">
        <v>2</v>
      </c>
      <c r="C287" s="21" t="s">
        <v>0</v>
      </c>
      <c r="D287" s="20">
        <v>4.33</v>
      </c>
      <c r="E287" s="36">
        <v>19</v>
      </c>
      <c r="H287" t="str">
        <f>TRIM(Таблиця1[[#This Row],[Абонент]])</f>
        <v>77010000113</v>
      </c>
      <c r="J287">
        <f t="shared" si="4"/>
        <v>77010000113</v>
      </c>
    </row>
    <row r="288" spans="1:10" x14ac:dyDescent="0.3">
      <c r="A288" s="42">
        <v>77010000119</v>
      </c>
      <c r="B288" s="20">
        <v>2</v>
      </c>
      <c r="C288" s="21" t="s">
        <v>0</v>
      </c>
      <c r="D288" s="20">
        <v>4.33</v>
      </c>
      <c r="E288" s="36">
        <v>19</v>
      </c>
      <c r="H288" t="str">
        <f>TRIM(Таблиця1[[#This Row],[Абонент]])</f>
        <v>77010000119</v>
      </c>
      <c r="J288">
        <f t="shared" si="4"/>
        <v>77010000119</v>
      </c>
    </row>
    <row r="289" spans="1:10" x14ac:dyDescent="0.3">
      <c r="A289" s="42">
        <v>77010000126</v>
      </c>
      <c r="B289" s="20">
        <v>2</v>
      </c>
      <c r="C289" s="21" t="s">
        <v>0</v>
      </c>
      <c r="D289" s="20">
        <v>8.1</v>
      </c>
      <c r="E289" s="36">
        <v>19</v>
      </c>
      <c r="H289" t="str">
        <f>TRIM(Таблиця1[[#This Row],[Абонент]])</f>
        <v>77010000126</v>
      </c>
      <c r="J289">
        <f t="shared" si="4"/>
        <v>77010000126</v>
      </c>
    </row>
    <row r="290" spans="1:10" x14ac:dyDescent="0.3">
      <c r="A290" s="42">
        <v>77010000128</v>
      </c>
      <c r="B290" s="20">
        <v>2</v>
      </c>
      <c r="C290" s="21" t="s">
        <v>0</v>
      </c>
      <c r="D290" s="20">
        <v>4.33</v>
      </c>
      <c r="E290" s="36">
        <v>19</v>
      </c>
      <c r="H290" t="str">
        <f>TRIM(Таблиця1[[#This Row],[Абонент]])</f>
        <v>77010000128</v>
      </c>
      <c r="J290">
        <f t="shared" si="4"/>
        <v>77010000128</v>
      </c>
    </row>
    <row r="291" spans="1:10" x14ac:dyDescent="0.3">
      <c r="A291" s="42">
        <v>77010000125</v>
      </c>
      <c r="B291" s="20">
        <v>2</v>
      </c>
      <c r="C291" s="21" t="s">
        <v>0</v>
      </c>
      <c r="D291" s="20">
        <v>5.0199999999999996</v>
      </c>
      <c r="E291" s="36">
        <v>22</v>
      </c>
      <c r="H291" t="str">
        <f>TRIM(Таблиця1[[#This Row],[Абонент]])</f>
        <v>77010000125</v>
      </c>
      <c r="J291">
        <f t="shared" si="4"/>
        <v>77010000125</v>
      </c>
    </row>
    <row r="292" spans="1:10" x14ac:dyDescent="0.3">
      <c r="A292" s="42">
        <v>77010000124</v>
      </c>
      <c r="B292" s="20">
        <v>2</v>
      </c>
      <c r="C292" s="21" t="s">
        <v>0</v>
      </c>
      <c r="D292" s="20">
        <v>9.3800000000000008</v>
      </c>
      <c r="E292" s="36">
        <v>22</v>
      </c>
      <c r="H292" t="str">
        <f>TRIM(Таблиця1[[#This Row],[Абонент]])</f>
        <v>77010000124</v>
      </c>
      <c r="J292">
        <f t="shared" si="4"/>
        <v>77010000124</v>
      </c>
    </row>
    <row r="293" spans="1:10" x14ac:dyDescent="0.3">
      <c r="A293" s="42">
        <v>77010000116</v>
      </c>
      <c r="B293" s="20">
        <v>2</v>
      </c>
      <c r="C293" s="21" t="s">
        <v>0</v>
      </c>
      <c r="D293" s="20">
        <v>10.23</v>
      </c>
      <c r="E293" s="36">
        <v>24</v>
      </c>
      <c r="H293" t="str">
        <f>TRIM(Таблиця1[[#This Row],[Абонент]])</f>
        <v>77010000116</v>
      </c>
      <c r="J293">
        <f t="shared" si="4"/>
        <v>77010000116</v>
      </c>
    </row>
    <row r="294" spans="1:10" x14ac:dyDescent="0.3">
      <c r="A294" s="42">
        <v>77010000122</v>
      </c>
      <c r="B294" s="20">
        <v>2</v>
      </c>
      <c r="C294" s="21" t="s">
        <v>0</v>
      </c>
      <c r="D294" s="20">
        <v>10.23</v>
      </c>
      <c r="E294" s="36">
        <v>24</v>
      </c>
      <c r="H294" t="str">
        <f>TRIM(Таблиця1[[#This Row],[Абонент]])</f>
        <v>77010000122</v>
      </c>
      <c r="J294">
        <f t="shared" si="4"/>
        <v>77010000122</v>
      </c>
    </row>
    <row r="295" spans="1:10" x14ac:dyDescent="0.3">
      <c r="A295" s="42">
        <v>77010000123</v>
      </c>
      <c r="B295" s="20">
        <v>2</v>
      </c>
      <c r="C295" s="21" t="s">
        <v>0</v>
      </c>
      <c r="D295" s="20">
        <v>5.47</v>
      </c>
      <c r="E295" s="36">
        <v>24</v>
      </c>
      <c r="H295" t="str">
        <f>TRIM(Таблиця1[[#This Row],[Абонент]])</f>
        <v>77010000123</v>
      </c>
      <c r="J295">
        <f t="shared" si="4"/>
        <v>77010000123</v>
      </c>
    </row>
    <row r="296" spans="1:10" x14ac:dyDescent="0.3">
      <c r="A296" s="42">
        <v>77010000106</v>
      </c>
      <c r="B296" s="20">
        <v>2</v>
      </c>
      <c r="C296" s="21" t="s">
        <v>2</v>
      </c>
      <c r="D296" s="20">
        <v>23.52</v>
      </c>
      <c r="E296" s="36">
        <v>26</v>
      </c>
      <c r="H296" t="str">
        <f>TRIM(Таблиця1[[#This Row],[Абонент]])</f>
        <v>77010000106</v>
      </c>
      <c r="J296" t="str">
        <f t="shared" si="4"/>
        <v/>
      </c>
    </row>
    <row r="297" spans="1:10" x14ac:dyDescent="0.3">
      <c r="A297" s="42">
        <v>77010000121</v>
      </c>
      <c r="B297" s="20">
        <v>2</v>
      </c>
      <c r="C297" s="21" t="s">
        <v>0</v>
      </c>
      <c r="D297" s="20">
        <v>6.38</v>
      </c>
      <c r="E297" s="36">
        <v>28</v>
      </c>
      <c r="H297" t="str">
        <f>TRIM(Таблиця1[[#This Row],[Абонент]])</f>
        <v>77010000121</v>
      </c>
      <c r="J297">
        <f t="shared" si="4"/>
        <v>77010000121</v>
      </c>
    </row>
    <row r="298" spans="1:10" x14ac:dyDescent="0.3">
      <c r="A298" s="42">
        <v>77010000109</v>
      </c>
      <c r="B298" s="20">
        <v>2</v>
      </c>
      <c r="C298" s="21" t="s">
        <v>0</v>
      </c>
      <c r="D298" s="20">
        <v>13.21</v>
      </c>
      <c r="E298" s="36">
        <v>31</v>
      </c>
      <c r="H298" t="str">
        <f>TRIM(Таблиця1[[#This Row],[Абонент]])</f>
        <v>77010000109</v>
      </c>
      <c r="J298">
        <f t="shared" si="4"/>
        <v>77010000109</v>
      </c>
    </row>
    <row r="299" spans="1:10" x14ac:dyDescent="0.3">
      <c r="A299" s="42">
        <v>77010000124</v>
      </c>
      <c r="B299" s="20">
        <v>2</v>
      </c>
      <c r="C299" s="21" t="s">
        <v>0</v>
      </c>
      <c r="D299" s="20">
        <v>13.64</v>
      </c>
      <c r="E299" s="36">
        <v>32</v>
      </c>
      <c r="H299" t="str">
        <f>TRIM(Таблиця1[[#This Row],[Абонент]])</f>
        <v>77010000124</v>
      </c>
      <c r="J299">
        <f t="shared" si="4"/>
        <v>77010000124</v>
      </c>
    </row>
    <row r="300" spans="1:10" x14ac:dyDescent="0.3">
      <c r="A300" s="42">
        <v>77010000126</v>
      </c>
      <c r="B300" s="20">
        <v>2</v>
      </c>
      <c r="C300" s="21" t="s">
        <v>0</v>
      </c>
      <c r="D300" s="20">
        <v>13.64</v>
      </c>
      <c r="E300" s="36">
        <v>32</v>
      </c>
      <c r="H300" t="str">
        <f>TRIM(Таблиця1[[#This Row],[Абонент]])</f>
        <v>77010000126</v>
      </c>
      <c r="J300">
        <f t="shared" si="4"/>
        <v>77010000126</v>
      </c>
    </row>
    <row r="301" spans="1:10" x14ac:dyDescent="0.3">
      <c r="A301" s="42">
        <v>77010000108</v>
      </c>
      <c r="B301" s="20">
        <v>2</v>
      </c>
      <c r="C301" s="21" t="s">
        <v>0</v>
      </c>
      <c r="D301" s="20">
        <v>8.2100000000000009</v>
      </c>
      <c r="E301" s="36">
        <v>36</v>
      </c>
      <c r="H301" t="str">
        <f>TRIM(Таблиця1[[#This Row],[Абонент]])</f>
        <v>77010000108</v>
      </c>
      <c r="J301">
        <f t="shared" si="4"/>
        <v>77010000108</v>
      </c>
    </row>
    <row r="302" spans="1:10" x14ac:dyDescent="0.3">
      <c r="A302" s="42">
        <v>77010000110</v>
      </c>
      <c r="B302" s="20">
        <v>2</v>
      </c>
      <c r="C302" s="21" t="s">
        <v>0</v>
      </c>
      <c r="D302" s="20">
        <v>8.89</v>
      </c>
      <c r="E302" s="36">
        <v>39</v>
      </c>
      <c r="H302" t="str">
        <f>TRIM(Таблиця1[[#This Row],[Абонент]])</f>
        <v>77010000110</v>
      </c>
      <c r="J302">
        <f t="shared" si="4"/>
        <v>77010000110</v>
      </c>
    </row>
    <row r="303" spans="1:10" x14ac:dyDescent="0.3">
      <c r="A303" s="42">
        <v>77010000111</v>
      </c>
      <c r="B303" s="20">
        <v>2</v>
      </c>
      <c r="C303" s="21" t="s">
        <v>0</v>
      </c>
      <c r="D303" s="20">
        <v>8.89</v>
      </c>
      <c r="E303" s="36">
        <v>39</v>
      </c>
      <c r="H303" t="str">
        <f>TRIM(Таблиця1[[#This Row],[Абонент]])</f>
        <v>77010000111</v>
      </c>
      <c r="J303">
        <f t="shared" si="4"/>
        <v>77010000111</v>
      </c>
    </row>
    <row r="304" spans="1:10" x14ac:dyDescent="0.3">
      <c r="A304" s="42">
        <v>77010000114</v>
      </c>
      <c r="B304" s="20">
        <v>2</v>
      </c>
      <c r="C304" s="21" t="s">
        <v>0</v>
      </c>
      <c r="D304" s="20">
        <v>17.47</v>
      </c>
      <c r="E304" s="36">
        <v>41</v>
      </c>
      <c r="H304" t="str">
        <f>TRIM(Таблиця1[[#This Row],[Абонент]])</f>
        <v>77010000114</v>
      </c>
      <c r="J304">
        <f t="shared" si="4"/>
        <v>77010000114</v>
      </c>
    </row>
    <row r="305" spans="1:10" x14ac:dyDescent="0.3">
      <c r="A305" s="42">
        <v>77010000101</v>
      </c>
      <c r="B305" s="20">
        <v>2</v>
      </c>
      <c r="C305" s="21" t="s">
        <v>0</v>
      </c>
      <c r="D305" s="20">
        <v>17.47</v>
      </c>
      <c r="E305" s="36">
        <v>41</v>
      </c>
      <c r="H305" t="str">
        <f>TRIM(Таблиця1[[#This Row],[Абонент]])</f>
        <v>77010000101</v>
      </c>
      <c r="J305">
        <f t="shared" si="4"/>
        <v>77010000101</v>
      </c>
    </row>
    <row r="306" spans="1:10" x14ac:dyDescent="0.3">
      <c r="A306" s="42">
        <v>77010000112</v>
      </c>
      <c r="B306" s="20">
        <v>2</v>
      </c>
      <c r="C306" s="21" t="s">
        <v>0</v>
      </c>
      <c r="D306" s="20">
        <v>18.329999999999998</v>
      </c>
      <c r="E306" s="36">
        <v>43</v>
      </c>
      <c r="H306" t="str">
        <f>TRIM(Таблиця1[[#This Row],[Абонент]])</f>
        <v>77010000112</v>
      </c>
      <c r="J306">
        <f t="shared" si="4"/>
        <v>77010000112</v>
      </c>
    </row>
    <row r="307" spans="1:10" x14ac:dyDescent="0.3">
      <c r="A307" s="42">
        <v>77010000129</v>
      </c>
      <c r="B307" s="20">
        <v>2</v>
      </c>
      <c r="C307" s="21" t="s">
        <v>0</v>
      </c>
      <c r="D307" s="20">
        <v>21.31</v>
      </c>
      <c r="E307" s="36">
        <v>50</v>
      </c>
      <c r="H307" t="str">
        <f>TRIM(Таблиця1[[#This Row],[Абонент]])</f>
        <v>77010000129</v>
      </c>
      <c r="J307">
        <f t="shared" si="4"/>
        <v>77010000129</v>
      </c>
    </row>
    <row r="308" spans="1:10" x14ac:dyDescent="0.3">
      <c r="A308" s="42">
        <v>77010000108</v>
      </c>
      <c r="B308" s="20">
        <v>2</v>
      </c>
      <c r="C308" s="21" t="s">
        <v>0</v>
      </c>
      <c r="D308" s="20">
        <v>22.59</v>
      </c>
      <c r="E308" s="36">
        <v>53</v>
      </c>
      <c r="H308" t="str">
        <f>TRIM(Таблиця1[[#This Row],[Абонент]])</f>
        <v>77010000108</v>
      </c>
      <c r="J308">
        <f t="shared" si="4"/>
        <v>77010000108</v>
      </c>
    </row>
    <row r="309" spans="1:10" x14ac:dyDescent="0.3">
      <c r="A309" s="42">
        <v>77010000115</v>
      </c>
      <c r="B309" s="20">
        <v>2</v>
      </c>
      <c r="C309" s="21" t="s">
        <v>0</v>
      </c>
      <c r="D309" s="20">
        <v>23.01</v>
      </c>
      <c r="E309" s="36">
        <v>54</v>
      </c>
      <c r="H309" t="str">
        <f>TRIM(Таблиця1[[#This Row],[Абонент]])</f>
        <v>77010000115</v>
      </c>
      <c r="J309">
        <f t="shared" si="4"/>
        <v>77010000115</v>
      </c>
    </row>
    <row r="310" spans="1:10" x14ac:dyDescent="0.3">
      <c r="A310" s="42">
        <v>77010000113</v>
      </c>
      <c r="B310" s="20">
        <v>2</v>
      </c>
      <c r="C310" s="21" t="s">
        <v>0</v>
      </c>
      <c r="D310" s="20">
        <v>25.15</v>
      </c>
      <c r="E310" s="36">
        <v>59</v>
      </c>
      <c r="H310" t="str">
        <f>TRIM(Таблиця1[[#This Row],[Абонент]])</f>
        <v>77010000113</v>
      </c>
      <c r="J310">
        <f t="shared" si="4"/>
        <v>77010000113</v>
      </c>
    </row>
    <row r="311" spans="1:10" x14ac:dyDescent="0.3">
      <c r="A311" s="42">
        <v>77010000123</v>
      </c>
      <c r="B311" s="20">
        <v>2</v>
      </c>
      <c r="C311" s="21" t="s">
        <v>0</v>
      </c>
      <c r="D311" s="20">
        <v>14.14</v>
      </c>
      <c r="E311" s="36">
        <v>62</v>
      </c>
      <c r="H311" t="str">
        <f>TRIM(Таблиця1[[#This Row],[Абонент]])</f>
        <v>77010000123</v>
      </c>
      <c r="J311">
        <f t="shared" si="4"/>
        <v>77010000123</v>
      </c>
    </row>
    <row r="312" spans="1:10" x14ac:dyDescent="0.3">
      <c r="A312" s="42">
        <v>77010000121</v>
      </c>
      <c r="B312" s="20">
        <v>2</v>
      </c>
      <c r="C312" s="21" t="s">
        <v>0</v>
      </c>
      <c r="D312" s="20">
        <v>28.13</v>
      </c>
      <c r="E312" s="36">
        <v>66</v>
      </c>
      <c r="H312" t="str">
        <f>TRIM(Таблиця1[[#This Row],[Абонент]])</f>
        <v>77010000121</v>
      </c>
      <c r="J312">
        <f t="shared" si="4"/>
        <v>77010000121</v>
      </c>
    </row>
    <row r="313" spans="1:10" x14ac:dyDescent="0.3">
      <c r="A313" s="42">
        <v>77010000099</v>
      </c>
      <c r="B313" s="20">
        <v>2</v>
      </c>
      <c r="C313" s="21" t="s">
        <v>0</v>
      </c>
      <c r="D313" s="20">
        <v>29.83</v>
      </c>
      <c r="E313" s="36">
        <v>70</v>
      </c>
      <c r="H313" t="str">
        <f>TRIM(Таблиця1[[#This Row],[Абонент]])</f>
        <v>77010000099</v>
      </c>
      <c r="J313">
        <f t="shared" si="4"/>
        <v>77010000099</v>
      </c>
    </row>
    <row r="314" spans="1:10" x14ac:dyDescent="0.3">
      <c r="A314" s="42">
        <v>77010000122</v>
      </c>
      <c r="B314" s="20">
        <v>2</v>
      </c>
      <c r="C314" s="21" t="s">
        <v>0</v>
      </c>
      <c r="D314" s="20">
        <v>16.87</v>
      </c>
      <c r="E314" s="36">
        <v>74</v>
      </c>
      <c r="H314" t="str">
        <f>TRIM(Таблиця1[[#This Row],[Абонент]])</f>
        <v>77010000122</v>
      </c>
      <c r="J314">
        <f t="shared" si="4"/>
        <v>77010000122</v>
      </c>
    </row>
    <row r="315" spans="1:10" x14ac:dyDescent="0.3">
      <c r="A315" s="42">
        <v>77010000099</v>
      </c>
      <c r="B315" s="20">
        <v>2</v>
      </c>
      <c r="C315" s="21" t="s">
        <v>0</v>
      </c>
      <c r="D315" s="20">
        <v>32.39</v>
      </c>
      <c r="E315" s="36">
        <v>76</v>
      </c>
      <c r="H315" t="str">
        <f>TRIM(Таблиця1[[#This Row],[Абонент]])</f>
        <v>77010000099</v>
      </c>
      <c r="J315">
        <f t="shared" si="4"/>
        <v>77010000099</v>
      </c>
    </row>
    <row r="316" spans="1:10" x14ac:dyDescent="0.3">
      <c r="A316" s="42">
        <v>77010000109</v>
      </c>
      <c r="B316" s="20">
        <v>2</v>
      </c>
      <c r="C316" s="21" t="s">
        <v>1</v>
      </c>
      <c r="D316" s="20">
        <v>62.72</v>
      </c>
      <c r="E316" s="36">
        <v>79</v>
      </c>
      <c r="H316" t="str">
        <f>TRIM(Таблиця1[[#This Row],[Абонент]])</f>
        <v>77010000109</v>
      </c>
      <c r="J316" t="str">
        <f t="shared" si="4"/>
        <v/>
      </c>
    </row>
    <row r="317" spans="1:10" x14ac:dyDescent="0.3">
      <c r="A317" s="42">
        <v>77010000109</v>
      </c>
      <c r="B317" s="20">
        <v>2</v>
      </c>
      <c r="C317" s="21" t="s">
        <v>0</v>
      </c>
      <c r="D317" s="20">
        <v>18.47</v>
      </c>
      <c r="E317" s="36">
        <v>81</v>
      </c>
      <c r="H317" t="str">
        <f>TRIM(Таблиця1[[#This Row],[Абонент]])</f>
        <v>77010000109</v>
      </c>
      <c r="J317">
        <f t="shared" si="4"/>
        <v>77010000109</v>
      </c>
    </row>
    <row r="318" spans="1:10" x14ac:dyDescent="0.3">
      <c r="A318" s="42">
        <v>77010000107</v>
      </c>
      <c r="B318" s="20">
        <v>2</v>
      </c>
      <c r="C318" s="21" t="s">
        <v>0</v>
      </c>
      <c r="D318" s="20">
        <v>34.950000000000003</v>
      </c>
      <c r="E318" s="36">
        <v>82</v>
      </c>
      <c r="H318" t="str">
        <f>TRIM(Таблиця1[[#This Row],[Абонент]])</f>
        <v>77010000107</v>
      </c>
      <c r="J318">
        <f t="shared" si="4"/>
        <v>77010000107</v>
      </c>
    </row>
    <row r="319" spans="1:10" x14ac:dyDescent="0.3">
      <c r="A319" s="42">
        <v>77010000122</v>
      </c>
      <c r="B319" s="20">
        <v>2</v>
      </c>
      <c r="C319" s="21" t="s">
        <v>0</v>
      </c>
      <c r="D319" s="20">
        <v>21.2</v>
      </c>
      <c r="E319" s="36">
        <v>93</v>
      </c>
      <c r="H319" t="str">
        <f>TRIM(Таблиця1[[#This Row],[Абонент]])</f>
        <v>77010000122</v>
      </c>
      <c r="J319">
        <f t="shared" si="4"/>
        <v>77010000122</v>
      </c>
    </row>
    <row r="320" spans="1:10" x14ac:dyDescent="0.3">
      <c r="A320" s="42">
        <v>77010000138</v>
      </c>
      <c r="B320" s="20">
        <v>3</v>
      </c>
      <c r="C320" s="21" t="s">
        <v>0</v>
      </c>
      <c r="D320" s="20">
        <v>0.43</v>
      </c>
      <c r="E320" s="36">
        <v>1</v>
      </c>
      <c r="H320" t="str">
        <f>TRIM(Таблиця1[[#This Row],[Абонент]])</f>
        <v>77010000138</v>
      </c>
      <c r="J320">
        <f t="shared" si="4"/>
        <v>77010000138</v>
      </c>
    </row>
    <row r="321" spans="1:10" x14ac:dyDescent="0.3">
      <c r="A321" s="42">
        <v>77010000135</v>
      </c>
      <c r="B321" s="20">
        <v>3</v>
      </c>
      <c r="C321" s="21" t="s">
        <v>0</v>
      </c>
      <c r="D321" s="20">
        <v>0.85</v>
      </c>
      <c r="E321" s="36">
        <v>2</v>
      </c>
      <c r="H321" t="str">
        <f>TRIM(Таблиця1[[#This Row],[Абонент]])</f>
        <v>77010000135</v>
      </c>
      <c r="J321">
        <f t="shared" si="4"/>
        <v>77010000135</v>
      </c>
    </row>
    <row r="322" spans="1:10" x14ac:dyDescent="0.3">
      <c r="A322" s="42">
        <v>77010000134</v>
      </c>
      <c r="B322" s="20">
        <v>3</v>
      </c>
      <c r="C322" s="21" t="s">
        <v>0</v>
      </c>
      <c r="D322" s="20">
        <v>0.85</v>
      </c>
      <c r="E322" s="36">
        <v>2</v>
      </c>
      <c r="H322" t="str">
        <f>TRIM(Таблиця1[[#This Row],[Абонент]])</f>
        <v>77010000134</v>
      </c>
      <c r="J322">
        <f t="shared" si="4"/>
        <v>77010000134</v>
      </c>
    </row>
    <row r="323" spans="1:10" x14ac:dyDescent="0.3">
      <c r="A323" s="42">
        <v>77010000130</v>
      </c>
      <c r="B323" s="20">
        <v>3</v>
      </c>
      <c r="C323" s="21" t="s">
        <v>0</v>
      </c>
      <c r="D323" s="20">
        <v>2.13</v>
      </c>
      <c r="E323" s="36">
        <v>5</v>
      </c>
      <c r="H323" t="str">
        <f>TRIM(Таблиця1[[#This Row],[Абонент]])</f>
        <v>77010000130</v>
      </c>
      <c r="J323">
        <f t="shared" ref="J323:J386" si="5">IF(C323="Внутри сети",A323,"")</f>
        <v>77010000130</v>
      </c>
    </row>
    <row r="324" spans="1:10" x14ac:dyDescent="0.3">
      <c r="A324" s="42">
        <v>77010000130</v>
      </c>
      <c r="B324" s="20">
        <v>3</v>
      </c>
      <c r="C324" s="21" t="s">
        <v>0</v>
      </c>
      <c r="D324" s="20">
        <v>2.56</v>
      </c>
      <c r="E324" s="36">
        <v>6</v>
      </c>
      <c r="H324" t="str">
        <f>TRIM(Таблиця1[[#This Row],[Абонент]])</f>
        <v>77010000130</v>
      </c>
      <c r="J324">
        <f t="shared" si="5"/>
        <v>77010000130</v>
      </c>
    </row>
    <row r="325" spans="1:10" x14ac:dyDescent="0.3">
      <c r="A325" s="42">
        <v>77010000131</v>
      </c>
      <c r="B325" s="20">
        <v>3</v>
      </c>
      <c r="C325" s="21" t="s">
        <v>0</v>
      </c>
      <c r="D325" s="20">
        <v>2.56</v>
      </c>
      <c r="E325" s="36">
        <v>6</v>
      </c>
      <c r="H325" t="str">
        <f>TRIM(Таблиця1[[#This Row],[Абонент]])</f>
        <v>77010000131</v>
      </c>
      <c r="J325">
        <f t="shared" si="5"/>
        <v>77010000131</v>
      </c>
    </row>
    <row r="326" spans="1:10" x14ac:dyDescent="0.3">
      <c r="A326" s="42">
        <v>77010000145</v>
      </c>
      <c r="B326" s="20">
        <v>3</v>
      </c>
      <c r="C326" s="21" t="s">
        <v>0</v>
      </c>
      <c r="D326" s="20">
        <v>3.84</v>
      </c>
      <c r="E326" s="36">
        <v>9</v>
      </c>
      <c r="H326" t="str">
        <f>TRIM(Таблиця1[[#This Row],[Абонент]])</f>
        <v>77010000145</v>
      </c>
      <c r="J326">
        <f t="shared" si="5"/>
        <v>77010000145</v>
      </c>
    </row>
    <row r="327" spans="1:10" x14ac:dyDescent="0.3">
      <c r="A327" s="42">
        <v>77010000137</v>
      </c>
      <c r="B327" s="20">
        <v>3</v>
      </c>
      <c r="C327" s="21" t="s">
        <v>0</v>
      </c>
      <c r="D327" s="20">
        <v>4.26</v>
      </c>
      <c r="E327" s="36">
        <v>10</v>
      </c>
      <c r="H327" t="str">
        <f>TRIM(Таблиця1[[#This Row],[Абонент]])</f>
        <v>77010000137</v>
      </c>
      <c r="J327">
        <f t="shared" si="5"/>
        <v>77010000137</v>
      </c>
    </row>
    <row r="328" spans="1:10" x14ac:dyDescent="0.3">
      <c r="A328" s="42">
        <v>77010000132</v>
      </c>
      <c r="B328" s="20">
        <v>3</v>
      </c>
      <c r="C328" s="21" t="s">
        <v>0</v>
      </c>
      <c r="D328" s="20">
        <v>4.26</v>
      </c>
      <c r="E328" s="36">
        <v>10</v>
      </c>
      <c r="H328" t="str">
        <f>TRIM(Таблиця1[[#This Row],[Абонент]])</f>
        <v>77010000132</v>
      </c>
      <c r="J328">
        <f t="shared" si="5"/>
        <v>77010000132</v>
      </c>
    </row>
    <row r="329" spans="1:10" x14ac:dyDescent="0.3">
      <c r="A329" s="42">
        <v>77010000139</v>
      </c>
      <c r="B329" s="20">
        <v>3</v>
      </c>
      <c r="C329" s="21" t="s">
        <v>0</v>
      </c>
      <c r="D329" s="20">
        <v>5.1100000000000003</v>
      </c>
      <c r="E329" s="36">
        <v>12</v>
      </c>
      <c r="H329" t="str">
        <f>TRIM(Таблиця1[[#This Row],[Абонент]])</f>
        <v>77010000139</v>
      </c>
      <c r="J329">
        <f t="shared" si="5"/>
        <v>77010000139</v>
      </c>
    </row>
    <row r="330" spans="1:10" x14ac:dyDescent="0.3">
      <c r="A330" s="42">
        <v>77010000135</v>
      </c>
      <c r="B330" s="20">
        <v>3</v>
      </c>
      <c r="C330" s="21" t="s">
        <v>0</v>
      </c>
      <c r="D330" s="20">
        <v>5.54</v>
      </c>
      <c r="E330" s="36">
        <v>13</v>
      </c>
      <c r="H330" t="str">
        <f>TRIM(Таблиця1[[#This Row],[Абонент]])</f>
        <v>77010000135</v>
      </c>
      <c r="J330">
        <f t="shared" si="5"/>
        <v>77010000135</v>
      </c>
    </row>
    <row r="331" spans="1:10" x14ac:dyDescent="0.3">
      <c r="A331" s="42">
        <v>77010000136</v>
      </c>
      <c r="B331" s="20">
        <v>3</v>
      </c>
      <c r="C331" s="21" t="s">
        <v>0</v>
      </c>
      <c r="D331" s="20">
        <v>5.97</v>
      </c>
      <c r="E331" s="36">
        <v>14</v>
      </c>
      <c r="H331" t="str">
        <f>TRIM(Таблиця1[[#This Row],[Абонент]])</f>
        <v>77010000136</v>
      </c>
      <c r="J331">
        <f t="shared" si="5"/>
        <v>77010000136</v>
      </c>
    </row>
    <row r="332" spans="1:10" x14ac:dyDescent="0.3">
      <c r="A332" s="42">
        <v>77010000144</v>
      </c>
      <c r="B332" s="20">
        <v>3</v>
      </c>
      <c r="C332" s="21" t="s">
        <v>0</v>
      </c>
      <c r="D332" s="20">
        <v>6.39</v>
      </c>
      <c r="E332" s="36">
        <v>15</v>
      </c>
      <c r="H332" t="str">
        <f>TRIM(Таблиця1[[#This Row],[Абонент]])</f>
        <v>77010000144</v>
      </c>
      <c r="J332">
        <f t="shared" si="5"/>
        <v>77010000144</v>
      </c>
    </row>
    <row r="333" spans="1:10" x14ac:dyDescent="0.3">
      <c r="A333" s="42">
        <v>77010000143</v>
      </c>
      <c r="B333" s="20">
        <v>3</v>
      </c>
      <c r="C333" s="21" t="s">
        <v>0</v>
      </c>
      <c r="D333" s="20">
        <v>7.67</v>
      </c>
      <c r="E333" s="36">
        <v>18</v>
      </c>
      <c r="H333" t="str">
        <f>TRIM(Таблиця1[[#This Row],[Абонент]])</f>
        <v>77010000143</v>
      </c>
      <c r="J333">
        <f t="shared" si="5"/>
        <v>77010000143</v>
      </c>
    </row>
    <row r="334" spans="1:10" x14ac:dyDescent="0.3">
      <c r="A334" s="42">
        <v>77010000131</v>
      </c>
      <c r="B334" s="20">
        <v>3</v>
      </c>
      <c r="C334" s="21" t="s">
        <v>0</v>
      </c>
      <c r="D334" s="20">
        <v>8.52</v>
      </c>
      <c r="E334" s="36">
        <v>20</v>
      </c>
      <c r="H334" t="str">
        <f>TRIM(Таблиця1[[#This Row],[Абонент]])</f>
        <v>77010000131</v>
      </c>
      <c r="J334">
        <f t="shared" si="5"/>
        <v>77010000131</v>
      </c>
    </row>
    <row r="335" spans="1:10" x14ac:dyDescent="0.3">
      <c r="A335" s="42">
        <v>77010000141</v>
      </c>
      <c r="B335" s="20">
        <v>3</v>
      </c>
      <c r="C335" s="21" t="s">
        <v>0</v>
      </c>
      <c r="D335" s="20">
        <v>8.9499999999999993</v>
      </c>
      <c r="E335" s="36">
        <v>21</v>
      </c>
      <c r="H335" t="str">
        <f>TRIM(Таблиця1[[#This Row],[Абонент]])</f>
        <v>77010000141</v>
      </c>
      <c r="J335">
        <f t="shared" si="5"/>
        <v>77010000141</v>
      </c>
    </row>
    <row r="336" spans="1:10" x14ac:dyDescent="0.3">
      <c r="A336" s="42">
        <v>77010000136</v>
      </c>
      <c r="B336" s="20">
        <v>3</v>
      </c>
      <c r="C336" s="21" t="s">
        <v>0</v>
      </c>
      <c r="D336" s="20">
        <v>9.3800000000000008</v>
      </c>
      <c r="E336" s="36">
        <v>22</v>
      </c>
      <c r="H336" t="str">
        <f>TRIM(Таблиця1[[#This Row],[Абонент]])</f>
        <v>77010000136</v>
      </c>
      <c r="J336">
        <f t="shared" si="5"/>
        <v>77010000136</v>
      </c>
    </row>
    <row r="337" spans="1:10" x14ac:dyDescent="0.3">
      <c r="A337" s="42">
        <v>77010000131</v>
      </c>
      <c r="B337" s="20">
        <v>3</v>
      </c>
      <c r="C337" s="21" t="s">
        <v>0</v>
      </c>
      <c r="D337" s="20">
        <v>9.8000000000000007</v>
      </c>
      <c r="E337" s="36">
        <v>23</v>
      </c>
      <c r="H337" t="str">
        <f>TRIM(Таблиця1[[#This Row],[Абонент]])</f>
        <v>77010000131</v>
      </c>
      <c r="J337">
        <f t="shared" si="5"/>
        <v>77010000131</v>
      </c>
    </row>
    <row r="338" spans="1:10" x14ac:dyDescent="0.3">
      <c r="A338" s="42">
        <v>77010000133</v>
      </c>
      <c r="B338" s="20">
        <v>3</v>
      </c>
      <c r="C338" s="21" t="s">
        <v>0</v>
      </c>
      <c r="D338" s="20">
        <v>9.8000000000000007</v>
      </c>
      <c r="E338" s="36">
        <v>23</v>
      </c>
      <c r="H338" t="str">
        <f>TRIM(Таблиця1[[#This Row],[Абонент]])</f>
        <v>77010000133</v>
      </c>
      <c r="J338">
        <f t="shared" si="5"/>
        <v>77010000133</v>
      </c>
    </row>
    <row r="339" spans="1:10" x14ac:dyDescent="0.3">
      <c r="A339" s="42">
        <v>77010000133</v>
      </c>
      <c r="B339" s="20">
        <v>3</v>
      </c>
      <c r="C339" s="21" t="s">
        <v>0</v>
      </c>
      <c r="D339" s="20">
        <v>10.23</v>
      </c>
      <c r="E339" s="36">
        <v>24</v>
      </c>
      <c r="H339" t="str">
        <f>TRIM(Таблиця1[[#This Row],[Абонент]])</f>
        <v>77010000133</v>
      </c>
      <c r="J339">
        <f t="shared" si="5"/>
        <v>77010000133</v>
      </c>
    </row>
    <row r="340" spans="1:10" x14ac:dyDescent="0.3">
      <c r="A340" s="42">
        <v>77010000134</v>
      </c>
      <c r="B340" s="20">
        <v>3</v>
      </c>
      <c r="C340" s="21" t="s">
        <v>0</v>
      </c>
      <c r="D340" s="20">
        <v>11.51</v>
      </c>
      <c r="E340" s="36">
        <v>27</v>
      </c>
      <c r="H340" t="str">
        <f>TRIM(Таблиця1[[#This Row],[Абонент]])</f>
        <v>77010000134</v>
      </c>
      <c r="J340">
        <f t="shared" si="5"/>
        <v>77010000134</v>
      </c>
    </row>
    <row r="341" spans="1:10" x14ac:dyDescent="0.3">
      <c r="A341" s="42">
        <v>77010000132</v>
      </c>
      <c r="B341" s="20">
        <v>3</v>
      </c>
      <c r="C341" s="21" t="s">
        <v>4</v>
      </c>
      <c r="D341" s="20">
        <v>0</v>
      </c>
      <c r="E341" s="36">
        <v>31</v>
      </c>
      <c r="H341" t="str">
        <f>TRIM(Таблиця1[[#This Row],[Абонент]])</f>
        <v>77010000132</v>
      </c>
      <c r="J341" t="str">
        <f t="shared" si="5"/>
        <v/>
      </c>
    </row>
    <row r="342" spans="1:10" x14ac:dyDescent="0.3">
      <c r="A342" s="42">
        <v>77010000146</v>
      </c>
      <c r="B342" s="20">
        <v>3</v>
      </c>
      <c r="C342" s="21" t="s">
        <v>0</v>
      </c>
      <c r="D342" s="20">
        <v>15.77</v>
      </c>
      <c r="E342" s="36">
        <v>37</v>
      </c>
      <c r="H342" t="str">
        <f>TRIM(Таблиця1[[#This Row],[Абонент]])</f>
        <v>77010000146</v>
      </c>
      <c r="J342">
        <f t="shared" si="5"/>
        <v>77010000146</v>
      </c>
    </row>
    <row r="343" spans="1:10" x14ac:dyDescent="0.3">
      <c r="A343" s="42">
        <v>77010000130</v>
      </c>
      <c r="B343" s="20">
        <v>3</v>
      </c>
      <c r="C343" s="21" t="s">
        <v>0</v>
      </c>
      <c r="D343" s="20">
        <v>18.75</v>
      </c>
      <c r="E343" s="36">
        <v>44</v>
      </c>
      <c r="H343" t="str">
        <f>TRIM(Таблиця1[[#This Row],[Абонент]])</f>
        <v>77010000130</v>
      </c>
      <c r="J343">
        <f t="shared" si="5"/>
        <v>77010000130</v>
      </c>
    </row>
    <row r="344" spans="1:10" x14ac:dyDescent="0.3">
      <c r="A344" s="42">
        <v>77010000140</v>
      </c>
      <c r="B344" s="20">
        <v>3</v>
      </c>
      <c r="C344" s="21" t="s">
        <v>0</v>
      </c>
      <c r="D344" s="20">
        <v>18.75</v>
      </c>
      <c r="E344" s="36">
        <v>44</v>
      </c>
      <c r="H344" t="str">
        <f>TRIM(Таблиця1[[#This Row],[Абонент]])</f>
        <v>77010000140</v>
      </c>
      <c r="J344">
        <f t="shared" si="5"/>
        <v>77010000140</v>
      </c>
    </row>
    <row r="345" spans="1:10" x14ac:dyDescent="0.3">
      <c r="A345" s="42">
        <v>77010000133</v>
      </c>
      <c r="B345" s="20">
        <v>3</v>
      </c>
      <c r="C345" s="21" t="s">
        <v>0</v>
      </c>
      <c r="D345" s="20">
        <v>21.74</v>
      </c>
      <c r="E345" s="36">
        <v>51</v>
      </c>
      <c r="H345" t="str">
        <f>TRIM(Таблиця1[[#This Row],[Абонент]])</f>
        <v>77010000133</v>
      </c>
      <c r="J345">
        <f t="shared" si="5"/>
        <v>77010000133</v>
      </c>
    </row>
    <row r="346" spans="1:10" x14ac:dyDescent="0.3">
      <c r="A346" s="42">
        <v>77010000130</v>
      </c>
      <c r="B346" s="20">
        <v>3</v>
      </c>
      <c r="C346" s="21" t="s">
        <v>0</v>
      </c>
      <c r="D346" s="20">
        <v>24.72</v>
      </c>
      <c r="E346" s="36">
        <v>58</v>
      </c>
      <c r="H346" t="str">
        <f>TRIM(Таблиця1[[#This Row],[Абонент]])</f>
        <v>77010000130</v>
      </c>
      <c r="J346">
        <f t="shared" si="5"/>
        <v>77010000130</v>
      </c>
    </row>
    <row r="347" spans="1:10" x14ac:dyDescent="0.3">
      <c r="A347" s="42">
        <v>77010000132</v>
      </c>
      <c r="B347" s="20">
        <v>3</v>
      </c>
      <c r="C347" s="21" t="s">
        <v>0</v>
      </c>
      <c r="D347" s="20">
        <v>29.41</v>
      </c>
      <c r="E347" s="36">
        <v>69</v>
      </c>
      <c r="H347" t="str">
        <f>TRIM(Таблиця1[[#This Row],[Абонент]])</f>
        <v>77010000132</v>
      </c>
      <c r="J347">
        <f t="shared" si="5"/>
        <v>77010000132</v>
      </c>
    </row>
    <row r="348" spans="1:10" x14ac:dyDescent="0.3">
      <c r="A348" s="42">
        <v>77010000142</v>
      </c>
      <c r="B348" s="20">
        <v>3</v>
      </c>
      <c r="C348" s="21" t="s">
        <v>0</v>
      </c>
      <c r="D348" s="20">
        <v>40.49</v>
      </c>
      <c r="E348" s="36">
        <v>95</v>
      </c>
      <c r="H348" t="str">
        <f>TRIM(Таблиця1[[#This Row],[Абонент]])</f>
        <v>77010000142</v>
      </c>
      <c r="J348">
        <f t="shared" si="5"/>
        <v>77010000142</v>
      </c>
    </row>
    <row r="349" spans="1:10" x14ac:dyDescent="0.3">
      <c r="A349" s="42">
        <v>77010000150</v>
      </c>
      <c r="B349" s="20">
        <v>4</v>
      </c>
      <c r="C349" s="21" t="s">
        <v>0</v>
      </c>
      <c r="D349" s="20">
        <v>3.25</v>
      </c>
      <c r="E349" s="36">
        <v>8</v>
      </c>
      <c r="H349" t="str">
        <f>TRIM(Таблиця1[[#This Row],[Абонент]])</f>
        <v>77010000150</v>
      </c>
      <c r="J349">
        <f t="shared" si="5"/>
        <v>77010000150</v>
      </c>
    </row>
    <row r="350" spans="1:10" x14ac:dyDescent="0.3">
      <c r="A350" s="42">
        <v>77010000148</v>
      </c>
      <c r="B350" s="20">
        <v>4</v>
      </c>
      <c r="C350" s="21" t="s">
        <v>0</v>
      </c>
      <c r="D350" s="20">
        <v>5.69</v>
      </c>
      <c r="E350" s="36">
        <v>14</v>
      </c>
      <c r="H350" t="str">
        <f>TRIM(Таблиця1[[#This Row],[Абонент]])</f>
        <v>77010000148</v>
      </c>
      <c r="J350">
        <f t="shared" si="5"/>
        <v>77010000148</v>
      </c>
    </row>
    <row r="351" spans="1:10" x14ac:dyDescent="0.3">
      <c r="A351" s="42">
        <v>77010000150</v>
      </c>
      <c r="B351" s="20">
        <v>4</v>
      </c>
      <c r="C351" s="21" t="s">
        <v>0</v>
      </c>
      <c r="D351" s="20">
        <v>5.69</v>
      </c>
      <c r="E351" s="36">
        <v>14</v>
      </c>
      <c r="H351" t="str">
        <f>TRIM(Таблиця1[[#This Row],[Абонент]])</f>
        <v>77010000150</v>
      </c>
      <c r="J351">
        <f t="shared" si="5"/>
        <v>77010000150</v>
      </c>
    </row>
    <row r="352" spans="1:10" x14ac:dyDescent="0.3">
      <c r="A352" s="42">
        <v>77010000147</v>
      </c>
      <c r="B352" s="20">
        <v>4</v>
      </c>
      <c r="C352" s="21" t="s">
        <v>0</v>
      </c>
      <c r="D352" s="20">
        <v>6.5</v>
      </c>
      <c r="E352" s="36">
        <v>16</v>
      </c>
      <c r="H352" t="str">
        <f>TRIM(Таблиця1[[#This Row],[Абонент]])</f>
        <v>77010000147</v>
      </c>
      <c r="J352">
        <f t="shared" si="5"/>
        <v>77010000147</v>
      </c>
    </row>
    <row r="353" spans="1:10" x14ac:dyDescent="0.3">
      <c r="A353" s="42">
        <v>77010000149</v>
      </c>
      <c r="B353" s="20">
        <v>4</v>
      </c>
      <c r="C353" s="21" t="s">
        <v>0</v>
      </c>
      <c r="D353" s="20">
        <v>6.5</v>
      </c>
      <c r="E353" s="36">
        <v>16</v>
      </c>
      <c r="H353" t="str">
        <f>TRIM(Таблиця1[[#This Row],[Абонент]])</f>
        <v>77010000149</v>
      </c>
      <c r="J353">
        <f t="shared" si="5"/>
        <v>77010000149</v>
      </c>
    </row>
    <row r="354" spans="1:10" x14ac:dyDescent="0.3">
      <c r="A354" s="42">
        <v>77010000151</v>
      </c>
      <c r="B354" s="20">
        <v>4</v>
      </c>
      <c r="C354" s="21" t="s">
        <v>0</v>
      </c>
      <c r="D354" s="20">
        <v>8.5299999999999994</v>
      </c>
      <c r="E354" s="36">
        <v>21</v>
      </c>
      <c r="H354" t="str">
        <f>TRIM(Таблиця1[[#This Row],[Абонент]])</f>
        <v>77010000151</v>
      </c>
      <c r="J354">
        <f t="shared" si="5"/>
        <v>77010000151</v>
      </c>
    </row>
    <row r="355" spans="1:10" x14ac:dyDescent="0.3">
      <c r="A355" s="42">
        <v>77010000152</v>
      </c>
      <c r="B355" s="20">
        <v>4</v>
      </c>
      <c r="C355" s="21" t="s">
        <v>0</v>
      </c>
      <c r="D355" s="20">
        <v>8.5299999999999994</v>
      </c>
      <c r="E355" s="36">
        <v>21</v>
      </c>
      <c r="H355" t="str">
        <f>TRIM(Таблиця1[[#This Row],[Абонент]])</f>
        <v>77010000152</v>
      </c>
      <c r="J355">
        <f t="shared" si="5"/>
        <v>77010000152</v>
      </c>
    </row>
    <row r="356" spans="1:10" x14ac:dyDescent="0.3">
      <c r="A356" s="42">
        <v>77010000154</v>
      </c>
      <c r="B356" s="20">
        <v>4</v>
      </c>
      <c r="C356" s="21" t="s">
        <v>0</v>
      </c>
      <c r="D356" s="20">
        <v>9.75</v>
      </c>
      <c r="E356" s="36">
        <v>24</v>
      </c>
      <c r="H356" t="str">
        <f>TRIM(Таблиця1[[#This Row],[Абонент]])</f>
        <v>77010000154</v>
      </c>
      <c r="J356">
        <f t="shared" si="5"/>
        <v>77010000154</v>
      </c>
    </row>
    <row r="357" spans="1:10" x14ac:dyDescent="0.3">
      <c r="A357" s="42">
        <v>77010000148</v>
      </c>
      <c r="B357" s="20">
        <v>4</v>
      </c>
      <c r="C357" s="21" t="s">
        <v>0</v>
      </c>
      <c r="D357" s="20">
        <v>9.75</v>
      </c>
      <c r="E357" s="36">
        <v>24</v>
      </c>
      <c r="H357" t="str">
        <f>TRIM(Таблиця1[[#This Row],[Абонент]])</f>
        <v>77010000148</v>
      </c>
      <c r="J357">
        <f t="shared" si="5"/>
        <v>77010000148</v>
      </c>
    </row>
    <row r="358" spans="1:10" x14ac:dyDescent="0.3">
      <c r="A358" s="42">
        <v>77010000149</v>
      </c>
      <c r="B358" s="20">
        <v>4</v>
      </c>
      <c r="C358" s="21" t="s">
        <v>0</v>
      </c>
      <c r="D358" s="20">
        <v>9.75</v>
      </c>
      <c r="E358" s="36">
        <v>24</v>
      </c>
      <c r="H358" t="str">
        <f>TRIM(Таблиця1[[#This Row],[Абонент]])</f>
        <v>77010000149</v>
      </c>
      <c r="J358">
        <f t="shared" si="5"/>
        <v>77010000149</v>
      </c>
    </row>
    <row r="359" spans="1:10" x14ac:dyDescent="0.3">
      <c r="A359" s="42">
        <v>77010000150</v>
      </c>
      <c r="B359" s="20">
        <v>4</v>
      </c>
      <c r="C359" s="21" t="s">
        <v>0</v>
      </c>
      <c r="D359" s="20">
        <v>12.19</v>
      </c>
      <c r="E359" s="36">
        <v>30</v>
      </c>
      <c r="H359" t="str">
        <f>TRIM(Таблиця1[[#This Row],[Абонент]])</f>
        <v>77010000150</v>
      </c>
      <c r="J359">
        <f t="shared" si="5"/>
        <v>77010000150</v>
      </c>
    </row>
    <row r="360" spans="1:10" x14ac:dyDescent="0.3">
      <c r="A360" s="42">
        <v>77010000151</v>
      </c>
      <c r="B360" s="20">
        <v>4</v>
      </c>
      <c r="C360" s="21" t="s">
        <v>0</v>
      </c>
      <c r="D360" s="20">
        <v>18.29</v>
      </c>
      <c r="E360" s="36">
        <v>45</v>
      </c>
      <c r="H360" t="str">
        <f>TRIM(Таблиця1[[#This Row],[Абонент]])</f>
        <v>77010000151</v>
      </c>
      <c r="J360">
        <f t="shared" si="5"/>
        <v>77010000151</v>
      </c>
    </row>
    <row r="361" spans="1:10" x14ac:dyDescent="0.3">
      <c r="A361" s="42">
        <v>77010000153</v>
      </c>
      <c r="B361" s="20">
        <v>4</v>
      </c>
      <c r="C361" s="21" t="s">
        <v>0</v>
      </c>
      <c r="D361" s="20">
        <v>18.690000000000001</v>
      </c>
      <c r="E361" s="36">
        <v>46</v>
      </c>
      <c r="H361" t="str">
        <f>TRIM(Таблиця1[[#This Row],[Абонент]])</f>
        <v>77010000153</v>
      </c>
      <c r="J361">
        <f t="shared" si="5"/>
        <v>77010000153</v>
      </c>
    </row>
    <row r="362" spans="1:10" x14ac:dyDescent="0.3">
      <c r="A362" s="42">
        <v>77010000174</v>
      </c>
      <c r="B362" s="20">
        <v>5</v>
      </c>
      <c r="C362" s="21" t="s">
        <v>0</v>
      </c>
      <c r="D362" s="20">
        <v>0</v>
      </c>
      <c r="E362" s="36">
        <v>0</v>
      </c>
      <c r="H362" t="str">
        <f>TRIM(Таблиця1[[#This Row],[Абонент]])</f>
        <v>77010000174</v>
      </c>
      <c r="J362">
        <f t="shared" si="5"/>
        <v>77010000174</v>
      </c>
    </row>
    <row r="363" spans="1:10" x14ac:dyDescent="0.3">
      <c r="A363" s="42">
        <v>77010000181</v>
      </c>
      <c r="B363" s="20">
        <v>5</v>
      </c>
      <c r="C363" s="21" t="s">
        <v>0</v>
      </c>
      <c r="D363" s="20">
        <v>0</v>
      </c>
      <c r="E363" s="36">
        <v>0</v>
      </c>
      <c r="H363" t="str">
        <f>TRIM(Таблиця1[[#This Row],[Абонент]])</f>
        <v>77010000181</v>
      </c>
      <c r="J363">
        <f t="shared" si="5"/>
        <v>77010000181</v>
      </c>
    </row>
    <row r="364" spans="1:10" x14ac:dyDescent="0.3">
      <c r="A364" s="42">
        <v>77010000162</v>
      </c>
      <c r="B364" s="20">
        <v>5</v>
      </c>
      <c r="C364" s="21" t="s">
        <v>0</v>
      </c>
      <c r="D364" s="20">
        <v>0.43</v>
      </c>
      <c r="E364" s="36">
        <v>1</v>
      </c>
      <c r="H364" t="str">
        <f>TRIM(Таблиця1[[#This Row],[Абонент]])</f>
        <v>77010000162</v>
      </c>
      <c r="J364">
        <f t="shared" si="5"/>
        <v>77010000162</v>
      </c>
    </row>
    <row r="365" spans="1:10" x14ac:dyDescent="0.3">
      <c r="A365" s="42">
        <v>77010000165</v>
      </c>
      <c r="B365" s="20">
        <v>5</v>
      </c>
      <c r="C365" s="21" t="s">
        <v>0</v>
      </c>
      <c r="D365" s="20">
        <v>0.43</v>
      </c>
      <c r="E365" s="36">
        <v>1</v>
      </c>
      <c r="H365" t="str">
        <f>TRIM(Таблиця1[[#This Row],[Абонент]])</f>
        <v>77010000165</v>
      </c>
      <c r="J365">
        <f t="shared" si="5"/>
        <v>77010000165</v>
      </c>
    </row>
    <row r="366" spans="1:10" x14ac:dyDescent="0.3">
      <c r="A366" s="42">
        <v>77010000166</v>
      </c>
      <c r="B366" s="20">
        <v>5</v>
      </c>
      <c r="C366" s="21" t="s">
        <v>1</v>
      </c>
      <c r="D366" s="20">
        <v>7.43</v>
      </c>
      <c r="E366" s="36">
        <v>1</v>
      </c>
      <c r="H366" t="str">
        <f>TRIM(Таблиця1[[#This Row],[Абонент]])</f>
        <v>77010000166</v>
      </c>
      <c r="J366" t="str">
        <f t="shared" si="5"/>
        <v/>
      </c>
    </row>
    <row r="367" spans="1:10" x14ac:dyDescent="0.3">
      <c r="A367" s="42">
        <v>77010000170</v>
      </c>
      <c r="B367" s="20">
        <v>5</v>
      </c>
      <c r="C367" s="21" t="s">
        <v>0</v>
      </c>
      <c r="D367" s="20">
        <v>0.43</v>
      </c>
      <c r="E367" s="36">
        <v>1</v>
      </c>
      <c r="H367" t="str">
        <f>TRIM(Таблиця1[[#This Row],[Абонент]])</f>
        <v>77010000170</v>
      </c>
      <c r="J367">
        <f t="shared" si="5"/>
        <v>77010000170</v>
      </c>
    </row>
    <row r="368" spans="1:10" x14ac:dyDescent="0.3">
      <c r="A368" s="42">
        <v>77010000175</v>
      </c>
      <c r="B368" s="20">
        <v>5</v>
      </c>
      <c r="C368" s="21" t="s">
        <v>0</v>
      </c>
      <c r="D368" s="20">
        <v>0.43</v>
      </c>
      <c r="E368" s="36">
        <v>1</v>
      </c>
      <c r="H368" t="str">
        <f>TRIM(Таблиця1[[#This Row],[Абонент]])</f>
        <v>77010000175</v>
      </c>
      <c r="J368">
        <f t="shared" si="5"/>
        <v>77010000175</v>
      </c>
    </row>
    <row r="369" spans="1:10" x14ac:dyDescent="0.3">
      <c r="A369" s="42">
        <v>77010000182</v>
      </c>
      <c r="B369" s="20">
        <v>5</v>
      </c>
      <c r="C369" s="21" t="s">
        <v>0</v>
      </c>
      <c r="D369" s="20">
        <v>0.43</v>
      </c>
      <c r="E369" s="36">
        <v>1</v>
      </c>
      <c r="H369" t="str">
        <f>TRIM(Таблиця1[[#This Row],[Абонент]])</f>
        <v>77010000182</v>
      </c>
      <c r="J369">
        <f t="shared" si="5"/>
        <v>77010000182</v>
      </c>
    </row>
    <row r="370" spans="1:10" x14ac:dyDescent="0.3">
      <c r="A370" s="42">
        <v>77010000187</v>
      </c>
      <c r="B370" s="20">
        <v>5</v>
      </c>
      <c r="C370" s="21" t="s">
        <v>0</v>
      </c>
      <c r="D370" s="20">
        <v>0.43</v>
      </c>
      <c r="E370" s="36">
        <v>1</v>
      </c>
      <c r="H370" t="str">
        <f>TRIM(Таблиця1[[#This Row],[Абонент]])</f>
        <v>77010000187</v>
      </c>
      <c r="J370">
        <f t="shared" si="5"/>
        <v>77010000187</v>
      </c>
    </row>
    <row r="371" spans="1:10" x14ac:dyDescent="0.3">
      <c r="A371" s="42">
        <v>77010000193</v>
      </c>
      <c r="B371" s="20">
        <v>5</v>
      </c>
      <c r="C371" s="21" t="s">
        <v>0</v>
      </c>
      <c r="D371" s="20">
        <v>0.43</v>
      </c>
      <c r="E371" s="36">
        <v>1</v>
      </c>
      <c r="H371" t="str">
        <f>TRIM(Таблиця1[[#This Row],[Абонент]])</f>
        <v>77010000193</v>
      </c>
      <c r="J371">
        <f t="shared" si="5"/>
        <v>77010000193</v>
      </c>
    </row>
    <row r="372" spans="1:10" x14ac:dyDescent="0.3">
      <c r="A372" s="42">
        <v>77010000195</v>
      </c>
      <c r="B372" s="20">
        <v>5</v>
      </c>
      <c r="C372" s="21" t="s">
        <v>0</v>
      </c>
      <c r="D372" s="20">
        <v>0.43</v>
      </c>
      <c r="E372" s="36">
        <v>1</v>
      </c>
      <c r="H372" t="str">
        <f>TRIM(Таблиця1[[#This Row],[Абонент]])</f>
        <v>77010000195</v>
      </c>
      <c r="J372">
        <f t="shared" si="5"/>
        <v>77010000195</v>
      </c>
    </row>
    <row r="373" spans="1:10" x14ac:dyDescent="0.3">
      <c r="A373" s="42">
        <v>77010000198</v>
      </c>
      <c r="B373" s="20">
        <v>5</v>
      </c>
      <c r="C373" s="21" t="s">
        <v>0</v>
      </c>
      <c r="D373" s="20">
        <v>0.43</v>
      </c>
      <c r="E373" s="36">
        <v>1</v>
      </c>
      <c r="H373" t="str">
        <f>TRIM(Таблиця1[[#This Row],[Абонент]])</f>
        <v>77010000198</v>
      </c>
      <c r="J373">
        <f t="shared" si="5"/>
        <v>77010000198</v>
      </c>
    </row>
    <row r="374" spans="1:10" x14ac:dyDescent="0.3">
      <c r="A374" s="42">
        <v>77010000171</v>
      </c>
      <c r="B374" s="20">
        <v>5</v>
      </c>
      <c r="C374" s="21" t="s">
        <v>0</v>
      </c>
      <c r="D374" s="20">
        <v>0</v>
      </c>
      <c r="E374" s="36">
        <v>1</v>
      </c>
      <c r="H374" t="str">
        <f>TRIM(Таблиця1[[#This Row],[Абонент]])</f>
        <v>77010000171</v>
      </c>
      <c r="J374">
        <f t="shared" si="5"/>
        <v>77010000171</v>
      </c>
    </row>
    <row r="375" spans="1:10" x14ac:dyDescent="0.3">
      <c r="A375" s="42">
        <v>77010000173</v>
      </c>
      <c r="B375" s="20">
        <v>5</v>
      </c>
      <c r="C375" s="21" t="s">
        <v>0</v>
      </c>
      <c r="D375" s="20">
        <v>0.43</v>
      </c>
      <c r="E375" s="36">
        <v>1</v>
      </c>
      <c r="H375" t="str">
        <f>TRIM(Таблиця1[[#This Row],[Абонент]])</f>
        <v>77010000173</v>
      </c>
      <c r="J375">
        <f t="shared" si="5"/>
        <v>77010000173</v>
      </c>
    </row>
    <row r="376" spans="1:10" x14ac:dyDescent="0.3">
      <c r="A376" s="42">
        <v>77010000185</v>
      </c>
      <c r="B376" s="20">
        <v>5</v>
      </c>
      <c r="C376" s="21" t="s">
        <v>0</v>
      </c>
      <c r="D376" s="20">
        <v>0.43</v>
      </c>
      <c r="E376" s="36">
        <v>1</v>
      </c>
      <c r="H376" t="str">
        <f>TRIM(Таблиця1[[#This Row],[Абонент]])</f>
        <v>77010000185</v>
      </c>
      <c r="J376">
        <f t="shared" si="5"/>
        <v>77010000185</v>
      </c>
    </row>
    <row r="377" spans="1:10" x14ac:dyDescent="0.3">
      <c r="A377" s="42">
        <v>77010000193</v>
      </c>
      <c r="B377" s="20">
        <v>5</v>
      </c>
      <c r="C377" s="21" t="s">
        <v>1</v>
      </c>
      <c r="D377" s="20">
        <v>7.43</v>
      </c>
      <c r="E377" s="36">
        <v>1</v>
      </c>
      <c r="H377" t="str">
        <f>TRIM(Таблиця1[[#This Row],[Абонент]])</f>
        <v>77010000193</v>
      </c>
      <c r="J377" t="str">
        <f t="shared" si="5"/>
        <v/>
      </c>
    </row>
    <row r="378" spans="1:10" x14ac:dyDescent="0.3">
      <c r="A378" s="42">
        <v>77010000205</v>
      </c>
      <c r="B378" s="20">
        <v>5</v>
      </c>
      <c r="C378" s="21" t="s">
        <v>0</v>
      </c>
      <c r="D378" s="20">
        <v>0.43</v>
      </c>
      <c r="E378" s="36">
        <v>1</v>
      </c>
      <c r="H378" t="str">
        <f>TRIM(Таблиця1[[#This Row],[Абонент]])</f>
        <v>77010000205</v>
      </c>
      <c r="J378">
        <f t="shared" si="5"/>
        <v>77010000205</v>
      </c>
    </row>
    <row r="379" spans="1:10" x14ac:dyDescent="0.3">
      <c r="A379" s="42">
        <v>77010000192</v>
      </c>
      <c r="B379" s="20">
        <v>5</v>
      </c>
      <c r="C379" s="21" t="s">
        <v>0</v>
      </c>
      <c r="D379" s="20">
        <v>0.43</v>
      </c>
      <c r="E379" s="36">
        <v>1</v>
      </c>
      <c r="H379" t="str">
        <f>TRIM(Таблиця1[[#This Row],[Абонент]])</f>
        <v>77010000192</v>
      </c>
      <c r="J379">
        <f t="shared" si="5"/>
        <v>77010000192</v>
      </c>
    </row>
    <row r="380" spans="1:10" x14ac:dyDescent="0.3">
      <c r="A380" s="42">
        <v>77010000224</v>
      </c>
      <c r="B380" s="20">
        <v>5</v>
      </c>
      <c r="C380" s="21" t="s">
        <v>0</v>
      </c>
      <c r="D380" s="20">
        <v>0.43</v>
      </c>
      <c r="E380" s="36">
        <v>1</v>
      </c>
      <c r="G380" s="2">
        <f>SUMIF(B:B, VLOOKUP(77010000055, 'База данных'!A:B, 2, 0),E:E)</f>
        <v>2705</v>
      </c>
      <c r="H380" t="str">
        <f>TRIM(Таблиця1[[#This Row],[Абонент]])</f>
        <v>77010000224</v>
      </c>
      <c r="J380">
        <f t="shared" si="5"/>
        <v>77010000224</v>
      </c>
    </row>
    <row r="381" spans="1:10" x14ac:dyDescent="0.3">
      <c r="A381" s="42">
        <v>77010000227</v>
      </c>
      <c r="B381" s="20">
        <v>5</v>
      </c>
      <c r="C381" s="21" t="s">
        <v>0</v>
      </c>
      <c r="D381" s="20">
        <v>0.43</v>
      </c>
      <c r="E381" s="36">
        <v>1</v>
      </c>
      <c r="H381" t="str">
        <f>TRIM(Таблиця1[[#This Row],[Абонент]])</f>
        <v>77010000227</v>
      </c>
      <c r="J381">
        <f t="shared" si="5"/>
        <v>77010000227</v>
      </c>
    </row>
    <row r="382" spans="1:10" x14ac:dyDescent="0.3">
      <c r="A382" s="42">
        <v>77010000209</v>
      </c>
      <c r="B382" s="20">
        <v>5</v>
      </c>
      <c r="C382" s="21" t="s">
        <v>0</v>
      </c>
      <c r="D382" s="20">
        <v>0.43</v>
      </c>
      <c r="E382" s="36">
        <v>1</v>
      </c>
      <c r="H382" t="str">
        <f>TRIM(Таблиця1[[#This Row],[Абонент]])</f>
        <v>77010000209</v>
      </c>
      <c r="J382">
        <f t="shared" si="5"/>
        <v>77010000209</v>
      </c>
    </row>
    <row r="383" spans="1:10" x14ac:dyDescent="0.3">
      <c r="A383" s="42">
        <v>77010000216</v>
      </c>
      <c r="B383" s="20">
        <v>5</v>
      </c>
      <c r="C383" s="21" t="s">
        <v>0</v>
      </c>
      <c r="D383" s="20">
        <v>0.43</v>
      </c>
      <c r="E383" s="36">
        <v>1</v>
      </c>
      <c r="H383" t="str">
        <f>TRIM(Таблиця1[[#This Row],[Абонент]])</f>
        <v>77010000216</v>
      </c>
      <c r="J383">
        <f t="shared" si="5"/>
        <v>77010000216</v>
      </c>
    </row>
    <row r="384" spans="1:10" x14ac:dyDescent="0.3">
      <c r="A384" s="42">
        <v>77010000236</v>
      </c>
      <c r="B384" s="20">
        <v>5</v>
      </c>
      <c r="C384" s="21" t="s">
        <v>0</v>
      </c>
      <c r="D384" s="20">
        <v>0.43</v>
      </c>
      <c r="E384" s="36">
        <v>1</v>
      </c>
      <c r="H384" t="str">
        <f>TRIM(Таблиця1[[#This Row],[Абонент]])</f>
        <v>77010000236</v>
      </c>
      <c r="J384">
        <f t="shared" si="5"/>
        <v>77010000236</v>
      </c>
    </row>
    <row r="385" spans="1:10" x14ac:dyDescent="0.3">
      <c r="A385" s="42">
        <v>77010000235</v>
      </c>
      <c r="B385" s="20">
        <v>5</v>
      </c>
      <c r="C385" s="21" t="s">
        <v>0</v>
      </c>
      <c r="D385" s="20">
        <v>0.43</v>
      </c>
      <c r="E385" s="36">
        <v>1</v>
      </c>
      <c r="H385" t="str">
        <f>TRIM(Таблиця1[[#This Row],[Абонент]])</f>
        <v>77010000235</v>
      </c>
      <c r="J385">
        <f t="shared" si="5"/>
        <v>77010000235</v>
      </c>
    </row>
    <row r="386" spans="1:10" x14ac:dyDescent="0.3">
      <c r="A386" s="42">
        <v>77010000165</v>
      </c>
      <c r="B386" s="20">
        <v>5</v>
      </c>
      <c r="C386" s="21" t="s">
        <v>0</v>
      </c>
      <c r="D386" s="20">
        <v>0.85</v>
      </c>
      <c r="E386" s="36">
        <v>2</v>
      </c>
      <c r="H386" t="str">
        <f>TRIM(Таблиця1[[#This Row],[Абонент]])</f>
        <v>77010000165</v>
      </c>
      <c r="J386">
        <f t="shared" si="5"/>
        <v>77010000165</v>
      </c>
    </row>
    <row r="387" spans="1:10" x14ac:dyDescent="0.3">
      <c r="A387" s="42">
        <v>77010000163</v>
      </c>
      <c r="B387" s="20">
        <v>5</v>
      </c>
      <c r="C387" s="21" t="s">
        <v>2</v>
      </c>
      <c r="D387" s="20">
        <v>7.43</v>
      </c>
      <c r="E387" s="36">
        <v>2</v>
      </c>
      <c r="H387" t="str">
        <f>TRIM(Таблиця1[[#This Row],[Абонент]])</f>
        <v>77010000163</v>
      </c>
      <c r="J387" t="str">
        <f t="shared" ref="J387:J450" si="6">IF(C387="Внутри сети",A387,"")</f>
        <v/>
      </c>
    </row>
    <row r="388" spans="1:10" x14ac:dyDescent="0.3">
      <c r="A388" s="42">
        <v>77010000173</v>
      </c>
      <c r="B388" s="20">
        <v>5</v>
      </c>
      <c r="C388" s="21" t="s">
        <v>0</v>
      </c>
      <c r="D388" s="20">
        <v>0.85</v>
      </c>
      <c r="E388" s="36">
        <v>2</v>
      </c>
      <c r="G388" t="e" cm="1">
        <f t="array" ref="G388">G</f>
        <v>#NAME?</v>
      </c>
      <c r="H388" t="str">
        <f>TRIM(Таблиця1[[#This Row],[Абонент]])</f>
        <v>77010000173</v>
      </c>
      <c r="J388">
        <f t="shared" si="6"/>
        <v>77010000173</v>
      </c>
    </row>
    <row r="389" spans="1:10" x14ac:dyDescent="0.3">
      <c r="A389" s="42">
        <v>77010000177</v>
      </c>
      <c r="B389" s="20">
        <v>5</v>
      </c>
      <c r="C389" s="21" t="s">
        <v>0</v>
      </c>
      <c r="D389" s="20">
        <v>0.85</v>
      </c>
      <c r="E389" s="36">
        <v>2</v>
      </c>
      <c r="H389" t="str">
        <f>TRIM(Таблиця1[[#This Row],[Абонент]])</f>
        <v>77010000177</v>
      </c>
      <c r="J389">
        <f t="shared" si="6"/>
        <v>77010000177</v>
      </c>
    </row>
    <row r="390" spans="1:10" x14ac:dyDescent="0.3">
      <c r="A390" s="42">
        <v>77010000186</v>
      </c>
      <c r="B390" s="20">
        <v>5</v>
      </c>
      <c r="C390" s="21" t="s">
        <v>0</v>
      </c>
      <c r="D390" s="20">
        <v>0.85</v>
      </c>
      <c r="E390" s="36">
        <v>2</v>
      </c>
      <c r="H390" t="str">
        <f>TRIM(Таблиця1[[#This Row],[Абонент]])</f>
        <v>77010000186</v>
      </c>
      <c r="J390">
        <f t="shared" si="6"/>
        <v>77010000186</v>
      </c>
    </row>
    <row r="391" spans="1:10" x14ac:dyDescent="0.3">
      <c r="A391" s="42">
        <v>77010000189</v>
      </c>
      <c r="B391" s="20">
        <v>5</v>
      </c>
      <c r="C391" s="21" t="s">
        <v>0</v>
      </c>
      <c r="D391" s="20">
        <v>0.85</v>
      </c>
      <c r="E391" s="36">
        <v>2</v>
      </c>
      <c r="H391" t="str">
        <f>TRIM(Таблиця1[[#This Row],[Абонент]])</f>
        <v>77010000189</v>
      </c>
      <c r="J391">
        <f t="shared" si="6"/>
        <v>77010000189</v>
      </c>
    </row>
    <row r="392" spans="1:10" x14ac:dyDescent="0.3">
      <c r="A392" s="42">
        <v>77010000187</v>
      </c>
      <c r="B392" s="20">
        <v>5</v>
      </c>
      <c r="C392" s="21" t="s">
        <v>0</v>
      </c>
      <c r="D392" s="20">
        <v>0.85</v>
      </c>
      <c r="E392" s="36">
        <v>2</v>
      </c>
      <c r="H392" t="str">
        <f>TRIM(Таблиця1[[#This Row],[Абонент]])</f>
        <v>77010000187</v>
      </c>
      <c r="J392">
        <f t="shared" si="6"/>
        <v>77010000187</v>
      </c>
    </row>
    <row r="393" spans="1:10" x14ac:dyDescent="0.3">
      <c r="A393" s="42">
        <v>77010000192</v>
      </c>
      <c r="B393" s="20">
        <v>5</v>
      </c>
      <c r="C393" s="21" t="s">
        <v>0</v>
      </c>
      <c r="D393" s="20">
        <v>0.85</v>
      </c>
      <c r="E393" s="36">
        <v>2</v>
      </c>
      <c r="H393" t="str">
        <f>TRIM(Таблиця1[[#This Row],[Абонент]])</f>
        <v>77010000192</v>
      </c>
      <c r="J393">
        <f t="shared" si="6"/>
        <v>77010000192</v>
      </c>
    </row>
    <row r="394" spans="1:10" x14ac:dyDescent="0.3">
      <c r="A394" s="42">
        <v>77010000237</v>
      </c>
      <c r="B394" s="20">
        <v>5</v>
      </c>
      <c r="C394" s="21" t="s">
        <v>0</v>
      </c>
      <c r="D394" s="20">
        <v>0.85</v>
      </c>
      <c r="E394" s="36">
        <v>2</v>
      </c>
      <c r="H394" t="str">
        <f>TRIM(Таблиця1[[#This Row],[Абонент]])</f>
        <v>77010000237</v>
      </c>
      <c r="J394">
        <f t="shared" si="6"/>
        <v>77010000237</v>
      </c>
    </row>
    <row r="395" spans="1:10" x14ac:dyDescent="0.3">
      <c r="A395" s="42">
        <v>77010000237</v>
      </c>
      <c r="B395" s="20">
        <v>5</v>
      </c>
      <c r="C395" s="21" t="s">
        <v>0</v>
      </c>
      <c r="D395" s="20">
        <v>0.85</v>
      </c>
      <c r="E395" s="36">
        <v>2</v>
      </c>
      <c r="H395" t="str">
        <f>TRIM(Таблиця1[[#This Row],[Абонент]])</f>
        <v>77010000237</v>
      </c>
      <c r="J395">
        <f t="shared" si="6"/>
        <v>77010000237</v>
      </c>
    </row>
    <row r="396" spans="1:10" x14ac:dyDescent="0.3">
      <c r="A396" s="42">
        <v>77010000168</v>
      </c>
      <c r="B396" s="20">
        <v>5</v>
      </c>
      <c r="C396" s="21" t="s">
        <v>0</v>
      </c>
      <c r="D396" s="20">
        <v>1.28</v>
      </c>
      <c r="E396" s="36">
        <v>3</v>
      </c>
      <c r="H396" t="str">
        <f>TRIM(Таблиця1[[#This Row],[Абонент]])</f>
        <v>77010000168</v>
      </c>
      <c r="J396">
        <f t="shared" si="6"/>
        <v>77010000168</v>
      </c>
    </row>
    <row r="397" spans="1:10" x14ac:dyDescent="0.3">
      <c r="A397" s="42">
        <v>77010000171</v>
      </c>
      <c r="B397" s="20">
        <v>5</v>
      </c>
      <c r="C397" s="21" t="s">
        <v>0</v>
      </c>
      <c r="D397" s="20">
        <v>1.28</v>
      </c>
      <c r="E397" s="36">
        <v>3</v>
      </c>
      <c r="H397" t="str">
        <f>TRIM(Таблиця1[[#This Row],[Абонент]])</f>
        <v>77010000171</v>
      </c>
      <c r="J397">
        <f t="shared" si="6"/>
        <v>77010000171</v>
      </c>
    </row>
    <row r="398" spans="1:10" x14ac:dyDescent="0.3">
      <c r="A398" s="42">
        <v>77010000185</v>
      </c>
      <c r="B398" s="20">
        <v>5</v>
      </c>
      <c r="C398" s="21" t="s">
        <v>0</v>
      </c>
      <c r="D398" s="20">
        <v>1.28</v>
      </c>
      <c r="E398" s="36">
        <v>3</v>
      </c>
      <c r="H398" t="str">
        <f>TRIM(Таблиця1[[#This Row],[Абонент]])</f>
        <v>77010000185</v>
      </c>
      <c r="J398">
        <f t="shared" si="6"/>
        <v>77010000185</v>
      </c>
    </row>
    <row r="399" spans="1:10" x14ac:dyDescent="0.3">
      <c r="A399" s="42">
        <v>77010000199</v>
      </c>
      <c r="B399" s="20">
        <v>5</v>
      </c>
      <c r="C399" s="21" t="s">
        <v>0</v>
      </c>
      <c r="D399" s="20">
        <v>1.28</v>
      </c>
      <c r="E399" s="36">
        <v>3</v>
      </c>
      <c r="H399" t="str">
        <f>TRIM(Таблиця1[[#This Row],[Абонент]])</f>
        <v>77010000199</v>
      </c>
      <c r="J399">
        <f t="shared" si="6"/>
        <v>77010000199</v>
      </c>
    </row>
    <row r="400" spans="1:10" x14ac:dyDescent="0.3">
      <c r="A400" s="42">
        <v>77010000223</v>
      </c>
      <c r="B400" s="20">
        <v>5</v>
      </c>
      <c r="C400" s="21" t="s">
        <v>0</v>
      </c>
      <c r="D400" s="20">
        <v>1.28</v>
      </c>
      <c r="E400" s="36">
        <v>3</v>
      </c>
      <c r="H400" t="str">
        <f>TRIM(Таблиця1[[#This Row],[Абонент]])</f>
        <v>77010000223</v>
      </c>
      <c r="J400">
        <f t="shared" si="6"/>
        <v>77010000223</v>
      </c>
    </row>
    <row r="401" spans="1:10" x14ac:dyDescent="0.3">
      <c r="A401" s="42">
        <v>77010000234</v>
      </c>
      <c r="B401" s="20">
        <v>5</v>
      </c>
      <c r="C401" s="21" t="s">
        <v>0</v>
      </c>
      <c r="D401" s="20">
        <v>0</v>
      </c>
      <c r="E401" s="36">
        <v>3</v>
      </c>
      <c r="H401" t="str">
        <f>TRIM(Таблиця1[[#This Row],[Абонент]])</f>
        <v>77010000234</v>
      </c>
      <c r="J401">
        <f t="shared" si="6"/>
        <v>77010000234</v>
      </c>
    </row>
    <row r="402" spans="1:10" x14ac:dyDescent="0.3">
      <c r="A402" s="42">
        <v>77010000164</v>
      </c>
      <c r="B402" s="20">
        <v>5</v>
      </c>
      <c r="C402" s="21" t="s">
        <v>0</v>
      </c>
      <c r="D402" s="20">
        <v>1.7</v>
      </c>
      <c r="E402" s="36">
        <v>4</v>
      </c>
      <c r="H402" t="str">
        <f>TRIM(Таблиця1[[#This Row],[Абонент]])</f>
        <v>77010000164</v>
      </c>
      <c r="J402">
        <f t="shared" si="6"/>
        <v>77010000164</v>
      </c>
    </row>
    <row r="403" spans="1:10" x14ac:dyDescent="0.3">
      <c r="A403" s="42">
        <v>77010000164</v>
      </c>
      <c r="B403" s="20">
        <v>5</v>
      </c>
      <c r="C403" s="21" t="s">
        <v>0</v>
      </c>
      <c r="D403" s="20">
        <v>1.7</v>
      </c>
      <c r="E403" s="36">
        <v>4</v>
      </c>
      <c r="H403" t="str">
        <f>TRIM(Таблиця1[[#This Row],[Абонент]])</f>
        <v>77010000164</v>
      </c>
      <c r="J403">
        <f t="shared" si="6"/>
        <v>77010000164</v>
      </c>
    </row>
    <row r="404" spans="1:10" x14ac:dyDescent="0.3">
      <c r="A404" s="42">
        <v>77010000169</v>
      </c>
      <c r="B404" s="20">
        <v>5</v>
      </c>
      <c r="C404" s="21" t="s">
        <v>0</v>
      </c>
      <c r="D404" s="20">
        <v>1.7</v>
      </c>
      <c r="E404" s="36">
        <v>4</v>
      </c>
      <c r="H404" t="str">
        <f>TRIM(Таблиця1[[#This Row],[Абонент]])</f>
        <v>77010000169</v>
      </c>
      <c r="J404">
        <f t="shared" si="6"/>
        <v>77010000169</v>
      </c>
    </row>
    <row r="405" spans="1:10" x14ac:dyDescent="0.3">
      <c r="A405" s="42">
        <v>77010000172</v>
      </c>
      <c r="B405" s="20">
        <v>5</v>
      </c>
      <c r="C405" s="21" t="s">
        <v>0</v>
      </c>
      <c r="D405" s="20">
        <v>1.7</v>
      </c>
      <c r="E405" s="36">
        <v>4</v>
      </c>
      <c r="H405" t="str">
        <f>TRIM(Таблиця1[[#This Row],[Абонент]])</f>
        <v>77010000172</v>
      </c>
      <c r="J405">
        <f t="shared" si="6"/>
        <v>77010000172</v>
      </c>
    </row>
    <row r="406" spans="1:10" x14ac:dyDescent="0.3">
      <c r="A406" s="42">
        <v>77010000180</v>
      </c>
      <c r="B406" s="20">
        <v>5</v>
      </c>
      <c r="C406" s="21" t="s">
        <v>0</v>
      </c>
      <c r="D406" s="20">
        <v>1.7</v>
      </c>
      <c r="E406" s="36">
        <v>4</v>
      </c>
      <c r="H406" t="str">
        <f>TRIM(Таблиця1[[#This Row],[Абонент]])</f>
        <v>77010000180</v>
      </c>
      <c r="J406">
        <f t="shared" si="6"/>
        <v>77010000180</v>
      </c>
    </row>
    <row r="407" spans="1:10" x14ac:dyDescent="0.3">
      <c r="A407" s="42">
        <v>77010000191</v>
      </c>
      <c r="B407" s="20">
        <v>5</v>
      </c>
      <c r="C407" s="21" t="s">
        <v>1</v>
      </c>
      <c r="D407" s="20">
        <v>7.43</v>
      </c>
      <c r="E407" s="36">
        <v>4</v>
      </c>
      <c r="H407" t="str">
        <f>TRIM(Таблиця1[[#This Row],[Абонент]])</f>
        <v>77010000191</v>
      </c>
      <c r="J407" t="str">
        <f t="shared" si="6"/>
        <v/>
      </c>
    </row>
    <row r="408" spans="1:10" x14ac:dyDescent="0.3">
      <c r="A408" s="42">
        <v>77010000196</v>
      </c>
      <c r="B408" s="20">
        <v>5</v>
      </c>
      <c r="C408" s="21" t="s">
        <v>0</v>
      </c>
      <c r="D408" s="20">
        <v>1.7</v>
      </c>
      <c r="E408" s="36">
        <v>4</v>
      </c>
      <c r="H408" t="str">
        <f>TRIM(Таблиця1[[#This Row],[Абонент]])</f>
        <v>77010000196</v>
      </c>
      <c r="J408">
        <f t="shared" si="6"/>
        <v>77010000196</v>
      </c>
    </row>
    <row r="409" spans="1:10" x14ac:dyDescent="0.3">
      <c r="A409" s="42">
        <v>77010000169</v>
      </c>
      <c r="B409" s="20">
        <v>5</v>
      </c>
      <c r="C409" s="21" t="s">
        <v>0</v>
      </c>
      <c r="D409" s="20">
        <v>1.7</v>
      </c>
      <c r="E409" s="36">
        <v>4</v>
      </c>
      <c r="H409" t="str">
        <f>TRIM(Таблиця1[[#This Row],[Абонент]])</f>
        <v>77010000169</v>
      </c>
      <c r="J409">
        <f t="shared" si="6"/>
        <v>77010000169</v>
      </c>
    </row>
    <row r="410" spans="1:10" x14ac:dyDescent="0.3">
      <c r="A410" s="42">
        <v>77010000195</v>
      </c>
      <c r="B410" s="20">
        <v>5</v>
      </c>
      <c r="C410" s="21" t="s">
        <v>0</v>
      </c>
      <c r="D410" s="20">
        <v>1.7</v>
      </c>
      <c r="E410" s="36">
        <v>4</v>
      </c>
      <c r="H410" t="str">
        <f>TRIM(Таблиця1[[#This Row],[Абонент]])</f>
        <v>77010000195</v>
      </c>
      <c r="J410">
        <f t="shared" si="6"/>
        <v>77010000195</v>
      </c>
    </row>
    <row r="411" spans="1:10" x14ac:dyDescent="0.3">
      <c r="A411" s="42">
        <v>77010000162</v>
      </c>
      <c r="B411" s="20">
        <v>5</v>
      </c>
      <c r="C411" s="21" t="s">
        <v>0</v>
      </c>
      <c r="D411" s="20">
        <v>2.13</v>
      </c>
      <c r="E411" s="36">
        <v>5</v>
      </c>
      <c r="H411" t="str">
        <f>TRIM(Таблиця1[[#This Row],[Абонент]])</f>
        <v>77010000162</v>
      </c>
      <c r="J411">
        <f t="shared" si="6"/>
        <v>77010000162</v>
      </c>
    </row>
    <row r="412" spans="1:10" x14ac:dyDescent="0.3">
      <c r="A412" s="42">
        <v>77010000167</v>
      </c>
      <c r="B412" s="20">
        <v>5</v>
      </c>
      <c r="C412" s="21" t="s">
        <v>0</v>
      </c>
      <c r="D412" s="20">
        <v>2.13</v>
      </c>
      <c r="E412" s="36">
        <v>5</v>
      </c>
      <c r="H412" t="str">
        <f>TRIM(Таблиця1[[#This Row],[Абонент]])</f>
        <v>77010000167</v>
      </c>
      <c r="J412">
        <f t="shared" si="6"/>
        <v>77010000167</v>
      </c>
    </row>
    <row r="413" spans="1:10" x14ac:dyDescent="0.3">
      <c r="A413" s="42">
        <v>77010000200</v>
      </c>
      <c r="B413" s="20">
        <v>5</v>
      </c>
      <c r="C413" s="21" t="s">
        <v>0</v>
      </c>
      <c r="D413" s="20">
        <v>2.13</v>
      </c>
      <c r="E413" s="36">
        <v>5</v>
      </c>
      <c r="H413" t="str">
        <f>TRIM(Таблиця1[[#This Row],[Абонент]])</f>
        <v>77010000200</v>
      </c>
      <c r="J413">
        <f t="shared" si="6"/>
        <v>77010000200</v>
      </c>
    </row>
    <row r="414" spans="1:10" x14ac:dyDescent="0.3">
      <c r="A414" s="42">
        <v>77010000184</v>
      </c>
      <c r="B414" s="20">
        <v>5</v>
      </c>
      <c r="C414" s="21" t="s">
        <v>0</v>
      </c>
      <c r="D414" s="20">
        <v>2.13</v>
      </c>
      <c r="E414" s="36">
        <v>5</v>
      </c>
      <c r="H414" t="str">
        <f>TRIM(Таблиця1[[#This Row],[Абонент]])</f>
        <v>77010000184</v>
      </c>
      <c r="J414">
        <f t="shared" si="6"/>
        <v>77010000184</v>
      </c>
    </row>
    <row r="415" spans="1:10" x14ac:dyDescent="0.3">
      <c r="A415" s="42">
        <v>77010000177</v>
      </c>
      <c r="B415" s="20">
        <v>5</v>
      </c>
      <c r="C415" s="21" t="s">
        <v>0</v>
      </c>
      <c r="D415" s="20">
        <v>2.13</v>
      </c>
      <c r="E415" s="36">
        <v>5</v>
      </c>
      <c r="H415" t="str">
        <f>TRIM(Таблиця1[[#This Row],[Абонент]])</f>
        <v>77010000177</v>
      </c>
      <c r="J415">
        <f t="shared" si="6"/>
        <v>77010000177</v>
      </c>
    </row>
    <row r="416" spans="1:10" x14ac:dyDescent="0.3">
      <c r="A416" s="42">
        <v>77010000193</v>
      </c>
      <c r="B416" s="20">
        <v>5</v>
      </c>
      <c r="C416" s="21" t="s">
        <v>0</v>
      </c>
      <c r="D416" s="20">
        <v>2.13</v>
      </c>
      <c r="E416" s="36">
        <v>5</v>
      </c>
      <c r="H416" t="str">
        <f>TRIM(Таблиця1[[#This Row],[Абонент]])</f>
        <v>77010000193</v>
      </c>
      <c r="J416">
        <f t="shared" si="6"/>
        <v>77010000193</v>
      </c>
    </row>
    <row r="417" spans="1:10" x14ac:dyDescent="0.3">
      <c r="A417" s="42">
        <v>77010000212</v>
      </c>
      <c r="B417" s="20">
        <v>5</v>
      </c>
      <c r="C417" s="21" t="s">
        <v>0</v>
      </c>
      <c r="D417" s="20">
        <v>2.13</v>
      </c>
      <c r="E417" s="36">
        <v>5</v>
      </c>
      <c r="H417" t="str">
        <f>TRIM(Таблиця1[[#This Row],[Абонент]])</f>
        <v>77010000212</v>
      </c>
      <c r="J417">
        <f t="shared" si="6"/>
        <v>77010000212</v>
      </c>
    </row>
    <row r="418" spans="1:10" x14ac:dyDescent="0.3">
      <c r="A418" s="42">
        <v>77010000235</v>
      </c>
      <c r="B418" s="20">
        <v>5</v>
      </c>
      <c r="C418" s="21" t="s">
        <v>0</v>
      </c>
      <c r="D418" s="20">
        <v>2.13</v>
      </c>
      <c r="E418" s="36">
        <v>5</v>
      </c>
      <c r="H418" t="str">
        <f>TRIM(Таблиця1[[#This Row],[Абонент]])</f>
        <v>77010000235</v>
      </c>
      <c r="J418">
        <f t="shared" si="6"/>
        <v>77010000235</v>
      </c>
    </row>
    <row r="419" spans="1:10" x14ac:dyDescent="0.3">
      <c r="A419" s="42">
        <v>77010000163</v>
      </c>
      <c r="B419" s="20">
        <v>5</v>
      </c>
      <c r="C419" s="21" t="s">
        <v>0</v>
      </c>
      <c r="D419" s="20">
        <v>2.56</v>
      </c>
      <c r="E419" s="36">
        <v>6</v>
      </c>
      <c r="H419" t="str">
        <f>TRIM(Таблиця1[[#This Row],[Абонент]])</f>
        <v>77010000163</v>
      </c>
      <c r="J419">
        <f t="shared" si="6"/>
        <v>77010000163</v>
      </c>
    </row>
    <row r="420" spans="1:10" x14ac:dyDescent="0.3">
      <c r="A420" s="42">
        <v>77010000170</v>
      </c>
      <c r="B420" s="20">
        <v>5</v>
      </c>
      <c r="C420" s="21" t="s">
        <v>0</v>
      </c>
      <c r="D420" s="20">
        <v>2.56</v>
      </c>
      <c r="E420" s="36">
        <v>6</v>
      </c>
      <c r="H420" t="str">
        <f>TRIM(Таблиця1[[#This Row],[Абонент]])</f>
        <v>77010000170</v>
      </c>
      <c r="J420">
        <f t="shared" si="6"/>
        <v>77010000170</v>
      </c>
    </row>
    <row r="421" spans="1:10" x14ac:dyDescent="0.3">
      <c r="A421" s="42">
        <v>77010000183</v>
      </c>
      <c r="B421" s="20">
        <v>5</v>
      </c>
      <c r="C421" s="21" t="s">
        <v>0</v>
      </c>
      <c r="D421" s="20">
        <v>2.56</v>
      </c>
      <c r="E421" s="36">
        <v>6</v>
      </c>
      <c r="H421" t="str">
        <f>TRIM(Таблиця1[[#This Row],[Абонент]])</f>
        <v>77010000183</v>
      </c>
      <c r="J421">
        <f t="shared" si="6"/>
        <v>77010000183</v>
      </c>
    </row>
    <row r="422" spans="1:10" x14ac:dyDescent="0.3">
      <c r="A422" s="42">
        <v>77010000190</v>
      </c>
      <c r="B422" s="20">
        <v>5</v>
      </c>
      <c r="C422" s="21" t="s">
        <v>0</v>
      </c>
      <c r="D422" s="20">
        <v>2.56</v>
      </c>
      <c r="E422" s="36">
        <v>6</v>
      </c>
      <c r="H422" t="str">
        <f>TRIM(Таблиця1[[#This Row],[Абонент]])</f>
        <v>77010000190</v>
      </c>
      <c r="J422">
        <f t="shared" si="6"/>
        <v>77010000190</v>
      </c>
    </row>
    <row r="423" spans="1:10" x14ac:dyDescent="0.3">
      <c r="A423" s="42">
        <v>77010000204</v>
      </c>
      <c r="B423" s="20">
        <v>5</v>
      </c>
      <c r="C423" s="21" t="s">
        <v>0</v>
      </c>
      <c r="D423" s="20">
        <v>0</v>
      </c>
      <c r="E423" s="36">
        <v>6</v>
      </c>
      <c r="H423" t="str">
        <f>TRIM(Таблиця1[[#This Row],[Абонент]])</f>
        <v>77010000204</v>
      </c>
      <c r="J423">
        <f t="shared" si="6"/>
        <v>77010000204</v>
      </c>
    </row>
    <row r="424" spans="1:10" x14ac:dyDescent="0.3">
      <c r="A424" s="42">
        <v>77010000182</v>
      </c>
      <c r="B424" s="20">
        <v>5</v>
      </c>
      <c r="C424" s="21" t="s">
        <v>0</v>
      </c>
      <c r="D424" s="20">
        <v>2.56</v>
      </c>
      <c r="E424" s="36">
        <v>6</v>
      </c>
      <c r="H424" t="str">
        <f>TRIM(Таблиця1[[#This Row],[Абонент]])</f>
        <v>77010000182</v>
      </c>
      <c r="J424">
        <f t="shared" si="6"/>
        <v>77010000182</v>
      </c>
    </row>
    <row r="425" spans="1:10" x14ac:dyDescent="0.3">
      <c r="A425" s="42">
        <v>77010000183</v>
      </c>
      <c r="B425" s="20">
        <v>5</v>
      </c>
      <c r="C425" s="21" t="s">
        <v>0</v>
      </c>
      <c r="D425" s="20">
        <v>2.56</v>
      </c>
      <c r="E425" s="36">
        <v>6</v>
      </c>
      <c r="H425" t="str">
        <f>TRIM(Таблиця1[[#This Row],[Абонент]])</f>
        <v>77010000183</v>
      </c>
      <c r="J425">
        <f t="shared" si="6"/>
        <v>77010000183</v>
      </c>
    </row>
    <row r="426" spans="1:10" x14ac:dyDescent="0.3">
      <c r="A426" s="42">
        <v>77010000190</v>
      </c>
      <c r="B426" s="20">
        <v>5</v>
      </c>
      <c r="C426" s="21" t="s">
        <v>0</v>
      </c>
      <c r="D426" s="20">
        <v>2.56</v>
      </c>
      <c r="E426" s="36">
        <v>6</v>
      </c>
      <c r="H426" t="str">
        <f>TRIM(Таблиця1[[#This Row],[Абонент]])</f>
        <v>77010000190</v>
      </c>
      <c r="J426">
        <f t="shared" si="6"/>
        <v>77010000190</v>
      </c>
    </row>
    <row r="427" spans="1:10" x14ac:dyDescent="0.3">
      <c r="A427" s="42">
        <v>77010000219</v>
      </c>
      <c r="B427" s="20">
        <v>5</v>
      </c>
      <c r="C427" s="21" t="s">
        <v>0</v>
      </c>
      <c r="D427" s="20">
        <v>2.56</v>
      </c>
      <c r="E427" s="36">
        <v>6</v>
      </c>
      <c r="H427" t="str">
        <f>TRIM(Таблиця1[[#This Row],[Абонент]])</f>
        <v>77010000219</v>
      </c>
      <c r="J427">
        <f t="shared" si="6"/>
        <v>77010000219</v>
      </c>
    </row>
    <row r="428" spans="1:10" x14ac:dyDescent="0.3">
      <c r="A428" s="42">
        <v>77010000178</v>
      </c>
      <c r="B428" s="20">
        <v>5</v>
      </c>
      <c r="C428" s="21" t="s">
        <v>0</v>
      </c>
      <c r="D428" s="20">
        <v>2.98</v>
      </c>
      <c r="E428" s="36">
        <v>7</v>
      </c>
      <c r="H428" t="str">
        <f>TRIM(Таблиця1[[#This Row],[Абонент]])</f>
        <v>77010000178</v>
      </c>
      <c r="J428">
        <f t="shared" si="6"/>
        <v>77010000178</v>
      </c>
    </row>
    <row r="429" spans="1:10" x14ac:dyDescent="0.3">
      <c r="A429" s="42">
        <v>77010000188</v>
      </c>
      <c r="B429" s="20">
        <v>5</v>
      </c>
      <c r="C429" s="21" t="s">
        <v>0</v>
      </c>
      <c r="D429" s="20">
        <v>2.98</v>
      </c>
      <c r="E429" s="36">
        <v>7</v>
      </c>
      <c r="H429" t="str">
        <f>TRIM(Таблиця1[[#This Row],[Абонент]])</f>
        <v>77010000188</v>
      </c>
      <c r="J429">
        <f t="shared" si="6"/>
        <v>77010000188</v>
      </c>
    </row>
    <row r="430" spans="1:10" x14ac:dyDescent="0.3">
      <c r="A430" s="42">
        <v>77010000190</v>
      </c>
      <c r="B430" s="20">
        <v>5</v>
      </c>
      <c r="C430" s="21" t="s">
        <v>0</v>
      </c>
      <c r="D430" s="20">
        <v>2.98</v>
      </c>
      <c r="E430" s="36">
        <v>7</v>
      </c>
      <c r="H430" t="str">
        <f>TRIM(Таблиця1[[#This Row],[Абонент]])</f>
        <v>77010000190</v>
      </c>
      <c r="J430">
        <f t="shared" si="6"/>
        <v>77010000190</v>
      </c>
    </row>
    <row r="431" spans="1:10" x14ac:dyDescent="0.3">
      <c r="A431" s="42">
        <v>77010000172</v>
      </c>
      <c r="B431" s="20">
        <v>5</v>
      </c>
      <c r="C431" s="21" t="s">
        <v>0</v>
      </c>
      <c r="D431" s="20">
        <v>2.98</v>
      </c>
      <c r="E431" s="36">
        <v>7</v>
      </c>
      <c r="H431" t="str">
        <f>TRIM(Таблиця1[[#This Row],[Абонент]])</f>
        <v>77010000172</v>
      </c>
      <c r="J431">
        <f t="shared" si="6"/>
        <v>77010000172</v>
      </c>
    </row>
    <row r="432" spans="1:10" x14ac:dyDescent="0.3">
      <c r="A432" s="42">
        <v>77010000175</v>
      </c>
      <c r="B432" s="20">
        <v>5</v>
      </c>
      <c r="C432" s="21" t="s">
        <v>1</v>
      </c>
      <c r="D432" s="20">
        <v>7.43</v>
      </c>
      <c r="E432" s="36">
        <v>7</v>
      </c>
      <c r="H432" t="str">
        <f>TRIM(Таблиця1[[#This Row],[Абонент]])</f>
        <v>77010000175</v>
      </c>
      <c r="J432" t="str">
        <f t="shared" si="6"/>
        <v/>
      </c>
    </row>
    <row r="433" spans="1:10" x14ac:dyDescent="0.3">
      <c r="A433" s="42">
        <v>77010000180</v>
      </c>
      <c r="B433" s="20">
        <v>5</v>
      </c>
      <c r="C433" s="21" t="s">
        <v>0</v>
      </c>
      <c r="D433" s="20">
        <v>2.98</v>
      </c>
      <c r="E433" s="36">
        <v>7</v>
      </c>
      <c r="H433" t="str">
        <f>TRIM(Таблиця1[[#This Row],[Абонент]])</f>
        <v>77010000180</v>
      </c>
      <c r="J433">
        <f t="shared" si="6"/>
        <v>77010000180</v>
      </c>
    </row>
    <row r="434" spans="1:10" x14ac:dyDescent="0.3">
      <c r="A434" s="42">
        <v>77010000189</v>
      </c>
      <c r="B434" s="20">
        <v>5</v>
      </c>
      <c r="C434" s="21" t="s">
        <v>0</v>
      </c>
      <c r="D434" s="20">
        <v>2.98</v>
      </c>
      <c r="E434" s="36">
        <v>7</v>
      </c>
      <c r="H434" t="str">
        <f>TRIM(Таблиця1[[#This Row],[Абонент]])</f>
        <v>77010000189</v>
      </c>
      <c r="J434">
        <f t="shared" si="6"/>
        <v>77010000189</v>
      </c>
    </row>
    <row r="435" spans="1:10" x14ac:dyDescent="0.3">
      <c r="A435" s="42">
        <v>77010000191</v>
      </c>
      <c r="B435" s="20">
        <v>5</v>
      </c>
      <c r="C435" s="21" t="s">
        <v>0</v>
      </c>
      <c r="D435" s="20">
        <v>2.98</v>
      </c>
      <c r="E435" s="36">
        <v>7</v>
      </c>
      <c r="H435" t="str">
        <f>TRIM(Таблиця1[[#This Row],[Абонент]])</f>
        <v>77010000191</v>
      </c>
      <c r="J435">
        <f t="shared" si="6"/>
        <v>77010000191</v>
      </c>
    </row>
    <row r="436" spans="1:10" x14ac:dyDescent="0.3">
      <c r="A436" s="42">
        <v>77010000221</v>
      </c>
      <c r="B436" s="20">
        <v>5</v>
      </c>
      <c r="C436" s="21" t="s">
        <v>0</v>
      </c>
      <c r="D436" s="20">
        <v>2.98</v>
      </c>
      <c r="E436" s="36">
        <v>7</v>
      </c>
      <c r="H436" t="str">
        <f>TRIM(Таблиця1[[#This Row],[Абонент]])</f>
        <v>77010000221</v>
      </c>
      <c r="J436">
        <f t="shared" si="6"/>
        <v>77010000221</v>
      </c>
    </row>
    <row r="437" spans="1:10" x14ac:dyDescent="0.3">
      <c r="A437" s="42">
        <v>77010000166</v>
      </c>
      <c r="B437" s="20">
        <v>5</v>
      </c>
      <c r="C437" s="21" t="s">
        <v>0</v>
      </c>
      <c r="D437" s="20">
        <v>3.41</v>
      </c>
      <c r="E437" s="36">
        <v>8</v>
      </c>
      <c r="H437" t="str">
        <f>TRIM(Таблиця1[[#This Row],[Абонент]])</f>
        <v>77010000166</v>
      </c>
      <c r="J437">
        <f t="shared" si="6"/>
        <v>77010000166</v>
      </c>
    </row>
    <row r="438" spans="1:10" x14ac:dyDescent="0.3">
      <c r="A438" s="42">
        <v>77010000176</v>
      </c>
      <c r="B438" s="20">
        <v>5</v>
      </c>
      <c r="C438" s="21" t="s">
        <v>0</v>
      </c>
      <c r="D438" s="20">
        <v>3.41</v>
      </c>
      <c r="E438" s="36">
        <v>8</v>
      </c>
      <c r="H438" t="str">
        <f>TRIM(Таблиця1[[#This Row],[Абонент]])</f>
        <v>77010000176</v>
      </c>
      <c r="J438">
        <f t="shared" si="6"/>
        <v>77010000176</v>
      </c>
    </row>
    <row r="439" spans="1:10" x14ac:dyDescent="0.3">
      <c r="A439" s="42">
        <v>77010000205</v>
      </c>
      <c r="B439" s="20">
        <v>5</v>
      </c>
      <c r="C439" s="21" t="s">
        <v>0</v>
      </c>
      <c r="D439" s="20">
        <v>3.41</v>
      </c>
      <c r="E439" s="36">
        <v>8</v>
      </c>
      <c r="H439" t="str">
        <f>TRIM(Таблиця1[[#This Row],[Абонент]])</f>
        <v>77010000205</v>
      </c>
      <c r="J439">
        <f t="shared" si="6"/>
        <v>77010000205</v>
      </c>
    </row>
    <row r="440" spans="1:10" x14ac:dyDescent="0.3">
      <c r="A440" s="42">
        <v>77010000169</v>
      </c>
      <c r="B440" s="20">
        <v>5</v>
      </c>
      <c r="C440" s="21" t="s">
        <v>0</v>
      </c>
      <c r="D440" s="20">
        <v>3.41</v>
      </c>
      <c r="E440" s="36">
        <v>8</v>
      </c>
      <c r="H440" t="str">
        <f>TRIM(Таблиця1[[#This Row],[Абонент]])</f>
        <v>77010000169</v>
      </c>
      <c r="J440">
        <f t="shared" si="6"/>
        <v>77010000169</v>
      </c>
    </row>
    <row r="441" spans="1:10" x14ac:dyDescent="0.3">
      <c r="A441" s="42">
        <v>77010000171</v>
      </c>
      <c r="B441" s="20">
        <v>5</v>
      </c>
      <c r="C441" s="21" t="s">
        <v>0</v>
      </c>
      <c r="D441" s="20">
        <v>3.41</v>
      </c>
      <c r="E441" s="36">
        <v>8</v>
      </c>
      <c r="H441" t="str">
        <f>TRIM(Таблиця1[[#This Row],[Абонент]])</f>
        <v>77010000171</v>
      </c>
      <c r="J441">
        <f t="shared" si="6"/>
        <v>77010000171</v>
      </c>
    </row>
    <row r="442" spans="1:10" x14ac:dyDescent="0.3">
      <c r="A442" s="42">
        <v>77010000186</v>
      </c>
      <c r="B442" s="20">
        <v>5</v>
      </c>
      <c r="C442" s="21" t="s">
        <v>0</v>
      </c>
      <c r="D442" s="20">
        <v>3.41</v>
      </c>
      <c r="E442" s="36">
        <v>8</v>
      </c>
      <c r="H442" t="str">
        <f>TRIM(Таблиця1[[#This Row],[Абонент]])</f>
        <v>77010000186</v>
      </c>
      <c r="J442">
        <f t="shared" si="6"/>
        <v>77010000186</v>
      </c>
    </row>
    <row r="443" spans="1:10" x14ac:dyDescent="0.3">
      <c r="A443" s="42">
        <v>77010000235</v>
      </c>
      <c r="B443" s="20">
        <v>5</v>
      </c>
      <c r="C443" s="21" t="s">
        <v>0</v>
      </c>
      <c r="D443" s="20">
        <v>3.41</v>
      </c>
      <c r="E443" s="36">
        <v>8</v>
      </c>
      <c r="H443" t="str">
        <f>TRIM(Таблиця1[[#This Row],[Абонент]])</f>
        <v>77010000235</v>
      </c>
      <c r="J443">
        <f t="shared" si="6"/>
        <v>77010000235</v>
      </c>
    </row>
    <row r="444" spans="1:10" x14ac:dyDescent="0.3">
      <c r="A444" s="42">
        <v>77010000218</v>
      </c>
      <c r="B444" s="20">
        <v>5</v>
      </c>
      <c r="C444" s="21" t="s">
        <v>0</v>
      </c>
      <c r="D444" s="20">
        <v>3.41</v>
      </c>
      <c r="E444" s="36">
        <v>8</v>
      </c>
      <c r="H444" t="str">
        <f>TRIM(Таблиця1[[#This Row],[Абонент]])</f>
        <v>77010000218</v>
      </c>
      <c r="J444">
        <f t="shared" si="6"/>
        <v>77010000218</v>
      </c>
    </row>
    <row r="445" spans="1:10" x14ac:dyDescent="0.3">
      <c r="A445" s="42">
        <v>77010000220</v>
      </c>
      <c r="B445" s="20">
        <v>5</v>
      </c>
      <c r="C445" s="21" t="s">
        <v>0</v>
      </c>
      <c r="D445" s="20">
        <v>3.41</v>
      </c>
      <c r="E445" s="36">
        <v>8</v>
      </c>
      <c r="H445" t="str">
        <f>TRIM(Таблиця1[[#This Row],[Абонент]])</f>
        <v>77010000220</v>
      </c>
      <c r="J445">
        <f t="shared" si="6"/>
        <v>77010000220</v>
      </c>
    </row>
    <row r="446" spans="1:10" x14ac:dyDescent="0.3">
      <c r="A446" s="42">
        <v>77010000181</v>
      </c>
      <c r="B446" s="20">
        <v>5</v>
      </c>
      <c r="C446" s="21" t="s">
        <v>0</v>
      </c>
      <c r="D446" s="20">
        <v>3.84</v>
      </c>
      <c r="E446" s="36">
        <v>9</v>
      </c>
      <c r="H446" t="str">
        <f>TRIM(Таблиця1[[#This Row],[Абонент]])</f>
        <v>77010000181</v>
      </c>
      <c r="J446">
        <f t="shared" si="6"/>
        <v>77010000181</v>
      </c>
    </row>
    <row r="447" spans="1:10" x14ac:dyDescent="0.3">
      <c r="A447" s="42">
        <v>77010000184</v>
      </c>
      <c r="B447" s="20">
        <v>5</v>
      </c>
      <c r="C447" s="21" t="s">
        <v>0</v>
      </c>
      <c r="D447" s="20">
        <v>3.84</v>
      </c>
      <c r="E447" s="36">
        <v>9</v>
      </c>
      <c r="H447" t="str">
        <f>TRIM(Таблиця1[[#This Row],[Абонент]])</f>
        <v>77010000184</v>
      </c>
      <c r="J447">
        <f t="shared" si="6"/>
        <v>77010000184</v>
      </c>
    </row>
    <row r="448" spans="1:10" x14ac:dyDescent="0.3">
      <c r="A448" s="42">
        <v>77010000203</v>
      </c>
      <c r="B448" s="20">
        <v>5</v>
      </c>
      <c r="C448" s="21" t="s">
        <v>0</v>
      </c>
      <c r="D448" s="20">
        <v>3.84</v>
      </c>
      <c r="E448" s="36">
        <v>9</v>
      </c>
      <c r="H448" t="str">
        <f>TRIM(Таблиця1[[#This Row],[Абонент]])</f>
        <v>77010000203</v>
      </c>
      <c r="J448">
        <f t="shared" si="6"/>
        <v>77010000203</v>
      </c>
    </row>
    <row r="449" spans="1:10" x14ac:dyDescent="0.3">
      <c r="A449" s="42">
        <v>77010000203</v>
      </c>
      <c r="B449" s="20">
        <v>5</v>
      </c>
      <c r="C449" s="21" t="s">
        <v>0</v>
      </c>
      <c r="D449" s="20">
        <v>3.84</v>
      </c>
      <c r="E449" s="36">
        <v>9</v>
      </c>
      <c r="H449" t="str">
        <f>TRIM(Таблиця1[[#This Row],[Абонент]])</f>
        <v>77010000203</v>
      </c>
      <c r="J449">
        <f t="shared" si="6"/>
        <v>77010000203</v>
      </c>
    </row>
    <row r="450" spans="1:10" x14ac:dyDescent="0.3">
      <c r="A450" s="42">
        <v>77010000189</v>
      </c>
      <c r="B450" s="20">
        <v>5</v>
      </c>
      <c r="C450" s="21" t="s">
        <v>0</v>
      </c>
      <c r="D450" s="20">
        <v>3.84</v>
      </c>
      <c r="E450" s="36">
        <v>9</v>
      </c>
      <c r="H450" t="str">
        <f>TRIM(Таблиця1[[#This Row],[Абонент]])</f>
        <v>77010000189</v>
      </c>
      <c r="J450">
        <f t="shared" si="6"/>
        <v>77010000189</v>
      </c>
    </row>
    <row r="451" spans="1:10" x14ac:dyDescent="0.3">
      <c r="A451" s="42">
        <v>77010000210</v>
      </c>
      <c r="B451" s="20">
        <v>5</v>
      </c>
      <c r="C451" s="21" t="s">
        <v>1</v>
      </c>
      <c r="D451" s="20">
        <v>7.43</v>
      </c>
      <c r="E451" s="36">
        <v>9</v>
      </c>
      <c r="H451" t="str">
        <f>TRIM(Таблиця1[[#This Row],[Абонент]])</f>
        <v>77010000210</v>
      </c>
      <c r="J451" t="str">
        <f t="shared" ref="J451:J514" si="7">IF(C451="Внутри сети",A451,"")</f>
        <v/>
      </c>
    </row>
    <row r="452" spans="1:10" x14ac:dyDescent="0.3">
      <c r="A452" s="42">
        <v>77010000233</v>
      </c>
      <c r="B452" s="20">
        <v>5</v>
      </c>
      <c r="C452" s="21" t="s">
        <v>0</v>
      </c>
      <c r="D452" s="20">
        <v>3.84</v>
      </c>
      <c r="E452" s="36">
        <v>9</v>
      </c>
      <c r="H452" t="str">
        <f>TRIM(Таблиця1[[#This Row],[Абонент]])</f>
        <v>77010000233</v>
      </c>
      <c r="J452">
        <f t="shared" si="7"/>
        <v>77010000233</v>
      </c>
    </row>
    <row r="453" spans="1:10" x14ac:dyDescent="0.3">
      <c r="A453" s="42">
        <v>77010000237</v>
      </c>
      <c r="B453" s="20">
        <v>5</v>
      </c>
      <c r="C453" s="21" t="s">
        <v>0</v>
      </c>
      <c r="D453" s="20">
        <v>3.84</v>
      </c>
      <c r="E453" s="36">
        <v>9</v>
      </c>
      <c r="H453" t="str">
        <f>TRIM(Таблиця1[[#This Row],[Абонент]])</f>
        <v>77010000237</v>
      </c>
      <c r="J453">
        <f t="shared" si="7"/>
        <v>77010000237</v>
      </c>
    </row>
    <row r="454" spans="1:10" x14ac:dyDescent="0.3">
      <c r="A454" s="42">
        <v>77010000192</v>
      </c>
      <c r="B454" s="20">
        <v>5</v>
      </c>
      <c r="C454" s="21" t="s">
        <v>0</v>
      </c>
      <c r="D454" s="20">
        <v>4.26</v>
      </c>
      <c r="E454" s="36">
        <v>10</v>
      </c>
      <c r="H454" t="str">
        <f>TRIM(Таблиця1[[#This Row],[Абонент]])</f>
        <v>77010000192</v>
      </c>
      <c r="J454">
        <f t="shared" si="7"/>
        <v>77010000192</v>
      </c>
    </row>
    <row r="455" spans="1:10" x14ac:dyDescent="0.3">
      <c r="A455" s="42">
        <v>77010000202</v>
      </c>
      <c r="B455" s="20">
        <v>5</v>
      </c>
      <c r="C455" s="21" t="s">
        <v>0</v>
      </c>
      <c r="D455" s="20">
        <v>4.26</v>
      </c>
      <c r="E455" s="36">
        <v>10</v>
      </c>
      <c r="H455" t="str">
        <f>TRIM(Таблиця1[[#This Row],[Абонент]])</f>
        <v>77010000202</v>
      </c>
      <c r="J455">
        <f t="shared" si="7"/>
        <v>77010000202</v>
      </c>
    </row>
    <row r="456" spans="1:10" x14ac:dyDescent="0.3">
      <c r="A456" s="42">
        <v>77010000204</v>
      </c>
      <c r="B456" s="20">
        <v>5</v>
      </c>
      <c r="C456" s="21" t="s">
        <v>0</v>
      </c>
      <c r="D456" s="20">
        <v>4.26</v>
      </c>
      <c r="E456" s="36">
        <v>10</v>
      </c>
      <c r="H456" t="str">
        <f>TRIM(Таблиця1[[#This Row],[Абонент]])</f>
        <v>77010000204</v>
      </c>
      <c r="J456">
        <f t="shared" si="7"/>
        <v>77010000204</v>
      </c>
    </row>
    <row r="457" spans="1:10" x14ac:dyDescent="0.3">
      <c r="A457" s="42">
        <v>77010000176</v>
      </c>
      <c r="B457" s="20">
        <v>5</v>
      </c>
      <c r="C457" s="21" t="s">
        <v>0</v>
      </c>
      <c r="D457" s="20">
        <v>4.26</v>
      </c>
      <c r="E457" s="36">
        <v>10</v>
      </c>
      <c r="H457" t="str">
        <f>TRIM(Таблиця1[[#This Row],[Абонент]])</f>
        <v>77010000176</v>
      </c>
      <c r="J457">
        <f t="shared" si="7"/>
        <v>77010000176</v>
      </c>
    </row>
    <row r="458" spans="1:10" x14ac:dyDescent="0.3">
      <c r="A458" s="42">
        <v>77010000187</v>
      </c>
      <c r="B458" s="20">
        <v>5</v>
      </c>
      <c r="C458" s="21" t="s">
        <v>0</v>
      </c>
      <c r="D458" s="20">
        <v>4.26</v>
      </c>
      <c r="E458" s="36">
        <v>10</v>
      </c>
      <c r="H458" t="str">
        <f>TRIM(Таблиця1[[#This Row],[Абонент]])</f>
        <v>77010000187</v>
      </c>
      <c r="J458">
        <f t="shared" si="7"/>
        <v>77010000187</v>
      </c>
    </row>
    <row r="459" spans="1:10" x14ac:dyDescent="0.3">
      <c r="A459" s="42">
        <v>77010000203</v>
      </c>
      <c r="B459" s="20">
        <v>5</v>
      </c>
      <c r="C459" s="21" t="s">
        <v>0</v>
      </c>
      <c r="D459" s="20">
        <v>4.26</v>
      </c>
      <c r="E459" s="36">
        <v>10</v>
      </c>
      <c r="H459" t="str">
        <f>TRIM(Таблиця1[[#This Row],[Абонент]])</f>
        <v>77010000203</v>
      </c>
      <c r="J459">
        <f t="shared" si="7"/>
        <v>77010000203</v>
      </c>
    </row>
    <row r="460" spans="1:10" x14ac:dyDescent="0.3">
      <c r="A460" s="42">
        <v>77010000231</v>
      </c>
      <c r="B460" s="20">
        <v>5</v>
      </c>
      <c r="C460" s="21" t="s">
        <v>0</v>
      </c>
      <c r="D460" s="20">
        <v>4.26</v>
      </c>
      <c r="E460" s="36">
        <v>10</v>
      </c>
      <c r="H460" t="str">
        <f>TRIM(Таблиця1[[#This Row],[Абонент]])</f>
        <v>77010000231</v>
      </c>
      <c r="J460">
        <f t="shared" si="7"/>
        <v>77010000231</v>
      </c>
    </row>
    <row r="461" spans="1:10" x14ac:dyDescent="0.3">
      <c r="A461" s="42">
        <v>77010000234</v>
      </c>
      <c r="B461" s="20">
        <v>5</v>
      </c>
      <c r="C461" s="21" t="s">
        <v>0</v>
      </c>
      <c r="D461" s="20">
        <v>4.26</v>
      </c>
      <c r="E461" s="36">
        <v>10</v>
      </c>
      <c r="H461" t="str">
        <f>TRIM(Таблиця1[[#This Row],[Абонент]])</f>
        <v>77010000234</v>
      </c>
      <c r="J461">
        <f t="shared" si="7"/>
        <v>77010000234</v>
      </c>
    </row>
    <row r="462" spans="1:10" x14ac:dyDescent="0.3">
      <c r="A462" s="42">
        <v>77010000197</v>
      </c>
      <c r="B462" s="20">
        <v>5</v>
      </c>
      <c r="C462" s="21" t="s">
        <v>0</v>
      </c>
      <c r="D462" s="20">
        <v>4.6900000000000004</v>
      </c>
      <c r="E462" s="36">
        <v>11</v>
      </c>
      <c r="H462" t="str">
        <f>TRIM(Таблиця1[[#This Row],[Абонент]])</f>
        <v>77010000197</v>
      </c>
      <c r="J462">
        <f t="shared" si="7"/>
        <v>77010000197</v>
      </c>
    </row>
    <row r="463" spans="1:10" x14ac:dyDescent="0.3">
      <c r="A463" s="42">
        <v>77010000172</v>
      </c>
      <c r="B463" s="20">
        <v>5</v>
      </c>
      <c r="C463" s="21" t="s">
        <v>2</v>
      </c>
      <c r="D463" s="20">
        <v>14.87</v>
      </c>
      <c r="E463" s="36">
        <v>11</v>
      </c>
      <c r="H463" t="str">
        <f>TRIM(Таблиця1[[#This Row],[Абонент]])</f>
        <v>77010000172</v>
      </c>
      <c r="J463" t="str">
        <f t="shared" si="7"/>
        <v/>
      </c>
    </row>
    <row r="464" spans="1:10" x14ac:dyDescent="0.3">
      <c r="A464" s="42">
        <v>77010000207</v>
      </c>
      <c r="B464" s="20">
        <v>5</v>
      </c>
      <c r="C464" s="21" t="s">
        <v>0</v>
      </c>
      <c r="D464" s="20">
        <v>4.6900000000000004</v>
      </c>
      <c r="E464" s="36">
        <v>11</v>
      </c>
      <c r="H464" t="str">
        <f>TRIM(Таблиця1[[#This Row],[Абонент]])</f>
        <v>77010000207</v>
      </c>
      <c r="J464">
        <f t="shared" si="7"/>
        <v>77010000207</v>
      </c>
    </row>
    <row r="465" spans="1:10" x14ac:dyDescent="0.3">
      <c r="A465" s="42">
        <v>77010000178</v>
      </c>
      <c r="B465" s="20">
        <v>5</v>
      </c>
      <c r="C465" s="21" t="s">
        <v>0</v>
      </c>
      <c r="D465" s="20">
        <v>4.6900000000000004</v>
      </c>
      <c r="E465" s="36">
        <v>11</v>
      </c>
      <c r="H465" t="str">
        <f>TRIM(Таблиця1[[#This Row],[Абонент]])</f>
        <v>77010000178</v>
      </c>
      <c r="J465">
        <f t="shared" si="7"/>
        <v>77010000178</v>
      </c>
    </row>
    <row r="466" spans="1:10" x14ac:dyDescent="0.3">
      <c r="A466" s="42">
        <v>77010000207</v>
      </c>
      <c r="B466" s="20">
        <v>5</v>
      </c>
      <c r="C466" s="21" t="s">
        <v>0</v>
      </c>
      <c r="D466" s="20">
        <v>4.6900000000000004</v>
      </c>
      <c r="E466" s="36">
        <v>11</v>
      </c>
      <c r="H466" t="str">
        <f>TRIM(Таблиця1[[#This Row],[Абонент]])</f>
        <v>77010000207</v>
      </c>
      <c r="J466">
        <f t="shared" si="7"/>
        <v>77010000207</v>
      </c>
    </row>
    <row r="467" spans="1:10" x14ac:dyDescent="0.3">
      <c r="A467" s="42">
        <v>77010000212</v>
      </c>
      <c r="B467" s="20">
        <v>5</v>
      </c>
      <c r="C467" s="21" t="s">
        <v>0</v>
      </c>
      <c r="D467" s="20">
        <v>4.6900000000000004</v>
      </c>
      <c r="E467" s="36">
        <v>11</v>
      </c>
      <c r="H467" t="str">
        <f>TRIM(Таблиця1[[#This Row],[Абонент]])</f>
        <v>77010000212</v>
      </c>
      <c r="J467">
        <f t="shared" si="7"/>
        <v>77010000212</v>
      </c>
    </row>
    <row r="468" spans="1:10" x14ac:dyDescent="0.3">
      <c r="A468" s="42">
        <v>77010000179</v>
      </c>
      <c r="B468" s="20">
        <v>5</v>
      </c>
      <c r="C468" s="21" t="s">
        <v>0</v>
      </c>
      <c r="D468" s="20">
        <v>5.1100000000000003</v>
      </c>
      <c r="E468" s="36">
        <v>12</v>
      </c>
      <c r="H468" t="str">
        <f>TRIM(Таблиця1[[#This Row],[Абонент]])</f>
        <v>77010000179</v>
      </c>
      <c r="J468">
        <f t="shared" si="7"/>
        <v>77010000179</v>
      </c>
    </row>
    <row r="469" spans="1:10" x14ac:dyDescent="0.3">
      <c r="A469" s="42">
        <v>77010000194</v>
      </c>
      <c r="B469" s="20">
        <v>5</v>
      </c>
      <c r="C469" s="21" t="s">
        <v>0</v>
      </c>
      <c r="D469" s="20">
        <v>5.1100000000000003</v>
      </c>
      <c r="E469" s="36">
        <v>12</v>
      </c>
      <c r="H469" t="str">
        <f>TRIM(Таблиця1[[#This Row],[Абонент]])</f>
        <v>77010000194</v>
      </c>
      <c r="J469">
        <f t="shared" si="7"/>
        <v>77010000194</v>
      </c>
    </row>
    <row r="470" spans="1:10" x14ac:dyDescent="0.3">
      <c r="A470" s="42">
        <v>77010000206</v>
      </c>
      <c r="B470" s="20">
        <v>5</v>
      </c>
      <c r="C470" s="21" t="s">
        <v>0</v>
      </c>
      <c r="D470" s="20">
        <v>5.1100000000000003</v>
      </c>
      <c r="E470" s="36">
        <v>12</v>
      </c>
      <c r="H470" t="str">
        <f>TRIM(Таблиця1[[#This Row],[Абонент]])</f>
        <v>77010000206</v>
      </c>
      <c r="J470">
        <f t="shared" si="7"/>
        <v>77010000206</v>
      </c>
    </row>
    <row r="471" spans="1:10" x14ac:dyDescent="0.3">
      <c r="A471" s="42">
        <v>77010000182</v>
      </c>
      <c r="B471" s="20">
        <v>5</v>
      </c>
      <c r="C471" s="21" t="s">
        <v>0</v>
      </c>
      <c r="D471" s="20">
        <v>5.1100000000000003</v>
      </c>
      <c r="E471" s="36">
        <v>12</v>
      </c>
      <c r="H471" t="str">
        <f>TRIM(Таблиця1[[#This Row],[Абонент]])</f>
        <v>77010000182</v>
      </c>
      <c r="J471">
        <f t="shared" si="7"/>
        <v>77010000182</v>
      </c>
    </row>
    <row r="472" spans="1:10" x14ac:dyDescent="0.3">
      <c r="A472" s="42">
        <v>77010000184</v>
      </c>
      <c r="B472" s="20">
        <v>5</v>
      </c>
      <c r="C472" s="21" t="s">
        <v>0</v>
      </c>
      <c r="D472" s="20">
        <v>5.1100000000000003</v>
      </c>
      <c r="E472" s="36">
        <v>12</v>
      </c>
      <c r="H472" t="str">
        <f>TRIM(Таблиця1[[#This Row],[Абонент]])</f>
        <v>77010000184</v>
      </c>
      <c r="J472">
        <f t="shared" si="7"/>
        <v>77010000184</v>
      </c>
    </row>
    <row r="473" spans="1:10" x14ac:dyDescent="0.3">
      <c r="A473" s="42">
        <v>77010000228</v>
      </c>
      <c r="B473" s="20">
        <v>5</v>
      </c>
      <c r="C473" s="21" t="s">
        <v>0</v>
      </c>
      <c r="D473" s="20">
        <v>5.1100000000000003</v>
      </c>
      <c r="E473" s="36">
        <v>12</v>
      </c>
      <c r="H473" t="str">
        <f>TRIM(Таблиця1[[#This Row],[Абонент]])</f>
        <v>77010000228</v>
      </c>
      <c r="J473">
        <f t="shared" si="7"/>
        <v>77010000228</v>
      </c>
    </row>
    <row r="474" spans="1:10" x14ac:dyDescent="0.3">
      <c r="A474" s="42">
        <v>77010000201</v>
      </c>
      <c r="B474" s="20">
        <v>5</v>
      </c>
      <c r="C474" s="21" t="s">
        <v>0</v>
      </c>
      <c r="D474" s="20">
        <v>5.54</v>
      </c>
      <c r="E474" s="36">
        <v>13</v>
      </c>
      <c r="H474" t="str">
        <f>TRIM(Таблиця1[[#This Row],[Абонент]])</f>
        <v>77010000201</v>
      </c>
      <c r="J474">
        <f t="shared" si="7"/>
        <v>77010000201</v>
      </c>
    </row>
    <row r="475" spans="1:10" x14ac:dyDescent="0.3">
      <c r="A475" s="42">
        <v>77010000208</v>
      </c>
      <c r="B475" s="20">
        <v>5</v>
      </c>
      <c r="C475" s="21" t="s">
        <v>0</v>
      </c>
      <c r="D475" s="20">
        <v>5.54</v>
      </c>
      <c r="E475" s="36">
        <v>13</v>
      </c>
      <c r="H475" t="str">
        <f>TRIM(Таблиця1[[#This Row],[Абонент]])</f>
        <v>77010000208</v>
      </c>
      <c r="J475">
        <f t="shared" si="7"/>
        <v>77010000208</v>
      </c>
    </row>
    <row r="476" spans="1:10" x14ac:dyDescent="0.3">
      <c r="A476" s="42">
        <v>77010000209</v>
      </c>
      <c r="B476" s="20">
        <v>5</v>
      </c>
      <c r="C476" s="21" t="s">
        <v>0</v>
      </c>
      <c r="D476" s="20">
        <v>5.54</v>
      </c>
      <c r="E476" s="36">
        <v>13</v>
      </c>
      <c r="H476" t="str">
        <f>TRIM(Таблиця1[[#This Row],[Абонент]])</f>
        <v>77010000209</v>
      </c>
      <c r="J476">
        <f t="shared" si="7"/>
        <v>77010000209</v>
      </c>
    </row>
    <row r="477" spans="1:10" x14ac:dyDescent="0.3">
      <c r="A477" s="42">
        <v>77010000226</v>
      </c>
      <c r="B477" s="20">
        <v>5</v>
      </c>
      <c r="C477" s="21" t="s">
        <v>0</v>
      </c>
      <c r="D477" s="20">
        <v>5.54</v>
      </c>
      <c r="E477" s="36">
        <v>13</v>
      </c>
      <c r="H477" t="str">
        <f>TRIM(Таблиця1[[#This Row],[Абонент]])</f>
        <v>77010000226</v>
      </c>
      <c r="J477">
        <f t="shared" si="7"/>
        <v>77010000226</v>
      </c>
    </row>
    <row r="478" spans="1:10" x14ac:dyDescent="0.3">
      <c r="A478" s="42">
        <v>77010000228</v>
      </c>
      <c r="B478" s="20">
        <v>5</v>
      </c>
      <c r="C478" s="21" t="s">
        <v>0</v>
      </c>
      <c r="D478" s="20">
        <v>5.54</v>
      </c>
      <c r="E478" s="36">
        <v>13</v>
      </c>
      <c r="H478" t="str">
        <f>TRIM(Таблиця1[[#This Row],[Абонент]])</f>
        <v>77010000228</v>
      </c>
      <c r="J478">
        <f t="shared" si="7"/>
        <v>77010000228</v>
      </c>
    </row>
    <row r="479" spans="1:10" x14ac:dyDescent="0.3">
      <c r="A479" s="42">
        <v>77010000210</v>
      </c>
      <c r="B479" s="20">
        <v>5</v>
      </c>
      <c r="C479" s="21" t="s">
        <v>0</v>
      </c>
      <c r="D479" s="20">
        <v>5.54</v>
      </c>
      <c r="E479" s="36">
        <v>13</v>
      </c>
      <c r="H479" t="str">
        <f>TRIM(Таблиця1[[#This Row],[Абонент]])</f>
        <v>77010000210</v>
      </c>
      <c r="J479">
        <f t="shared" si="7"/>
        <v>77010000210</v>
      </c>
    </row>
    <row r="480" spans="1:10" x14ac:dyDescent="0.3">
      <c r="A480" s="42">
        <v>77010000213</v>
      </c>
      <c r="B480" s="20">
        <v>5</v>
      </c>
      <c r="C480" s="21" t="s">
        <v>0</v>
      </c>
      <c r="D480" s="20">
        <v>5.54</v>
      </c>
      <c r="E480" s="36">
        <v>13</v>
      </c>
      <c r="H480" t="str">
        <f>TRIM(Таблиця1[[#This Row],[Абонент]])</f>
        <v>77010000213</v>
      </c>
      <c r="J480">
        <f t="shared" si="7"/>
        <v>77010000213</v>
      </c>
    </row>
    <row r="481" spans="1:10" x14ac:dyDescent="0.3">
      <c r="A481" s="42">
        <v>77010000236</v>
      </c>
      <c r="B481" s="20">
        <v>5</v>
      </c>
      <c r="C481" s="21" t="s">
        <v>0</v>
      </c>
      <c r="D481" s="20">
        <v>5.54</v>
      </c>
      <c r="E481" s="36">
        <v>13</v>
      </c>
      <c r="H481" t="str">
        <f>TRIM(Таблиця1[[#This Row],[Абонент]])</f>
        <v>77010000236</v>
      </c>
      <c r="J481">
        <f t="shared" si="7"/>
        <v>77010000236</v>
      </c>
    </row>
    <row r="482" spans="1:10" x14ac:dyDescent="0.3">
      <c r="A482" s="42">
        <v>77010000178</v>
      </c>
      <c r="B482" s="20">
        <v>5</v>
      </c>
      <c r="C482" s="21" t="s">
        <v>0</v>
      </c>
      <c r="D482" s="20">
        <v>5.97</v>
      </c>
      <c r="E482" s="36">
        <v>14</v>
      </c>
      <c r="H482" t="str">
        <f>TRIM(Таблиця1[[#This Row],[Абонент]])</f>
        <v>77010000178</v>
      </c>
      <c r="J482">
        <f t="shared" si="7"/>
        <v>77010000178</v>
      </c>
    </row>
    <row r="483" spans="1:10" x14ac:dyDescent="0.3">
      <c r="A483" s="42">
        <v>77010000207</v>
      </c>
      <c r="B483" s="20">
        <v>5</v>
      </c>
      <c r="C483" s="21" t="s">
        <v>0</v>
      </c>
      <c r="D483" s="20">
        <v>6.39</v>
      </c>
      <c r="E483" s="36">
        <v>15</v>
      </c>
      <c r="H483" t="str">
        <f>TRIM(Таблиця1[[#This Row],[Абонент]])</f>
        <v>77010000207</v>
      </c>
      <c r="J483">
        <f t="shared" si="7"/>
        <v>77010000207</v>
      </c>
    </row>
    <row r="484" spans="1:10" x14ac:dyDescent="0.3">
      <c r="A484" s="42">
        <v>77010000202</v>
      </c>
      <c r="B484" s="20">
        <v>5</v>
      </c>
      <c r="C484" s="21" t="s">
        <v>0</v>
      </c>
      <c r="D484" s="20">
        <v>6.39</v>
      </c>
      <c r="E484" s="36">
        <v>15</v>
      </c>
      <c r="H484" t="str">
        <f>TRIM(Таблиця1[[#This Row],[Абонент]])</f>
        <v>77010000202</v>
      </c>
      <c r="J484">
        <f t="shared" si="7"/>
        <v>77010000202</v>
      </c>
    </row>
    <row r="485" spans="1:10" x14ac:dyDescent="0.3">
      <c r="A485" s="42">
        <v>77010000194</v>
      </c>
      <c r="B485" s="20">
        <v>5</v>
      </c>
      <c r="C485" s="21" t="s">
        <v>0</v>
      </c>
      <c r="D485" s="20">
        <v>6.39</v>
      </c>
      <c r="E485" s="36">
        <v>15</v>
      </c>
      <c r="H485" t="str">
        <f>TRIM(Таблиця1[[#This Row],[Абонент]])</f>
        <v>77010000194</v>
      </c>
      <c r="J485">
        <f t="shared" si="7"/>
        <v>77010000194</v>
      </c>
    </row>
    <row r="486" spans="1:10" x14ac:dyDescent="0.3">
      <c r="A486" s="42">
        <v>77010000177</v>
      </c>
      <c r="B486" s="20">
        <v>5</v>
      </c>
      <c r="C486" s="21" t="s">
        <v>0</v>
      </c>
      <c r="D486" s="20">
        <v>6.82</v>
      </c>
      <c r="E486" s="36">
        <v>16</v>
      </c>
      <c r="H486" t="str">
        <f>TRIM(Таблиця1[[#This Row],[Абонент]])</f>
        <v>77010000177</v>
      </c>
      <c r="J486">
        <f t="shared" si="7"/>
        <v>77010000177</v>
      </c>
    </row>
    <row r="487" spans="1:10" x14ac:dyDescent="0.3">
      <c r="A487" s="42">
        <v>77010000179</v>
      </c>
      <c r="B487" s="20">
        <v>5</v>
      </c>
      <c r="C487" s="21" t="s">
        <v>0</v>
      </c>
      <c r="D487" s="20">
        <v>6.82</v>
      </c>
      <c r="E487" s="36">
        <v>16</v>
      </c>
      <c r="H487" t="str">
        <f>TRIM(Таблиця1[[#This Row],[Абонент]])</f>
        <v>77010000179</v>
      </c>
      <c r="J487">
        <f t="shared" si="7"/>
        <v>77010000179</v>
      </c>
    </row>
    <row r="488" spans="1:10" x14ac:dyDescent="0.3">
      <c r="A488" s="42">
        <v>77010000206</v>
      </c>
      <c r="B488" s="20">
        <v>5</v>
      </c>
      <c r="C488" s="21" t="s">
        <v>0</v>
      </c>
      <c r="D488" s="20">
        <v>7.25</v>
      </c>
      <c r="E488" s="36">
        <v>17</v>
      </c>
      <c r="H488" t="str">
        <f>TRIM(Таблиця1[[#This Row],[Абонент]])</f>
        <v>77010000206</v>
      </c>
      <c r="J488">
        <f t="shared" si="7"/>
        <v>77010000206</v>
      </c>
    </row>
    <row r="489" spans="1:10" x14ac:dyDescent="0.3">
      <c r="A489" s="42">
        <v>77010000236</v>
      </c>
      <c r="B489" s="20">
        <v>5</v>
      </c>
      <c r="C489" s="21" t="s">
        <v>0</v>
      </c>
      <c r="D489" s="20">
        <v>7.25</v>
      </c>
      <c r="E489" s="36">
        <v>17</v>
      </c>
      <c r="H489" t="str">
        <f>TRIM(Таблиця1[[#This Row],[Абонент]])</f>
        <v>77010000236</v>
      </c>
      <c r="J489">
        <f t="shared" si="7"/>
        <v>77010000236</v>
      </c>
    </row>
    <row r="490" spans="1:10" x14ac:dyDescent="0.3">
      <c r="A490" s="42">
        <v>77010000179</v>
      </c>
      <c r="B490" s="20">
        <v>5</v>
      </c>
      <c r="C490" s="21" t="s">
        <v>0</v>
      </c>
      <c r="D490" s="20">
        <v>7.67</v>
      </c>
      <c r="E490" s="36">
        <v>18</v>
      </c>
      <c r="H490" t="str">
        <f>TRIM(Таблиця1[[#This Row],[Абонент]])</f>
        <v>77010000179</v>
      </c>
      <c r="J490">
        <f t="shared" si="7"/>
        <v>77010000179</v>
      </c>
    </row>
    <row r="491" spans="1:10" x14ac:dyDescent="0.3">
      <c r="A491" s="42">
        <v>77010000188</v>
      </c>
      <c r="B491" s="20">
        <v>5</v>
      </c>
      <c r="C491" s="21" t="s">
        <v>0</v>
      </c>
      <c r="D491" s="20">
        <v>7.67</v>
      </c>
      <c r="E491" s="36">
        <v>18</v>
      </c>
      <c r="H491" t="str">
        <f>TRIM(Таблиця1[[#This Row],[Абонент]])</f>
        <v>77010000188</v>
      </c>
      <c r="J491">
        <f t="shared" si="7"/>
        <v>77010000188</v>
      </c>
    </row>
    <row r="492" spans="1:10" x14ac:dyDescent="0.3">
      <c r="A492" s="42">
        <v>77010000191</v>
      </c>
      <c r="B492" s="20">
        <v>5</v>
      </c>
      <c r="C492" s="21" t="s">
        <v>0</v>
      </c>
      <c r="D492" s="20">
        <v>7.67</v>
      </c>
      <c r="E492" s="36">
        <v>18</v>
      </c>
      <c r="H492" t="str">
        <f>TRIM(Таблиця1[[#This Row],[Абонент]])</f>
        <v>77010000191</v>
      </c>
      <c r="J492">
        <f t="shared" si="7"/>
        <v>77010000191</v>
      </c>
    </row>
    <row r="493" spans="1:10" x14ac:dyDescent="0.3">
      <c r="A493" s="42">
        <v>77010000194</v>
      </c>
      <c r="B493" s="20">
        <v>5</v>
      </c>
      <c r="C493" s="21" t="s">
        <v>0</v>
      </c>
      <c r="D493" s="20">
        <v>7.67</v>
      </c>
      <c r="E493" s="36">
        <v>18</v>
      </c>
      <c r="H493" t="str">
        <f>TRIM(Таблиця1[[#This Row],[Абонент]])</f>
        <v>77010000194</v>
      </c>
      <c r="J493">
        <f t="shared" si="7"/>
        <v>77010000194</v>
      </c>
    </row>
    <row r="494" spans="1:10" x14ac:dyDescent="0.3">
      <c r="A494" s="42">
        <v>77010000195</v>
      </c>
      <c r="B494" s="20">
        <v>5</v>
      </c>
      <c r="C494" s="21" t="s">
        <v>0</v>
      </c>
      <c r="D494" s="20">
        <v>7.67</v>
      </c>
      <c r="E494" s="36">
        <v>18</v>
      </c>
      <c r="H494" t="str">
        <f>TRIM(Таблиця1[[#This Row],[Абонент]])</f>
        <v>77010000195</v>
      </c>
      <c r="J494">
        <f t="shared" si="7"/>
        <v>77010000195</v>
      </c>
    </row>
    <row r="495" spans="1:10" x14ac:dyDescent="0.3">
      <c r="A495" s="42">
        <v>77010000185</v>
      </c>
      <c r="B495" s="20">
        <v>5</v>
      </c>
      <c r="C495" s="21" t="s">
        <v>0</v>
      </c>
      <c r="D495" s="20">
        <v>7.67</v>
      </c>
      <c r="E495" s="36">
        <v>18</v>
      </c>
      <c r="H495" t="str">
        <f>TRIM(Таблиця1[[#This Row],[Абонент]])</f>
        <v>77010000185</v>
      </c>
      <c r="J495">
        <f t="shared" si="7"/>
        <v>77010000185</v>
      </c>
    </row>
    <row r="496" spans="1:10" x14ac:dyDescent="0.3">
      <c r="A496" s="42">
        <v>77010000188</v>
      </c>
      <c r="B496" s="20">
        <v>5</v>
      </c>
      <c r="C496" s="21" t="s">
        <v>0</v>
      </c>
      <c r="D496" s="20">
        <v>7.67</v>
      </c>
      <c r="E496" s="36">
        <v>18</v>
      </c>
      <c r="H496" t="str">
        <f>TRIM(Таблиця1[[#This Row],[Абонент]])</f>
        <v>77010000188</v>
      </c>
      <c r="J496">
        <f t="shared" si="7"/>
        <v>77010000188</v>
      </c>
    </row>
    <row r="497" spans="1:10" x14ac:dyDescent="0.3">
      <c r="A497" s="42">
        <v>77010000213</v>
      </c>
      <c r="B497" s="20">
        <v>5</v>
      </c>
      <c r="C497" s="21" t="s">
        <v>1</v>
      </c>
      <c r="D497" s="20">
        <v>14.87</v>
      </c>
      <c r="E497" s="36">
        <v>18</v>
      </c>
      <c r="H497" t="str">
        <f>TRIM(Таблиця1[[#This Row],[Абонент]])</f>
        <v>77010000213</v>
      </c>
      <c r="J497" t="str">
        <f t="shared" si="7"/>
        <v/>
      </c>
    </row>
    <row r="498" spans="1:10" x14ac:dyDescent="0.3">
      <c r="A498" s="42">
        <v>77010000230</v>
      </c>
      <c r="B498" s="20">
        <v>5</v>
      </c>
      <c r="C498" s="21" t="s">
        <v>0</v>
      </c>
      <c r="D498" s="20">
        <v>7.67</v>
      </c>
      <c r="E498" s="36">
        <v>18</v>
      </c>
      <c r="H498" t="str">
        <f>TRIM(Таблиця1[[#This Row],[Абонент]])</f>
        <v>77010000230</v>
      </c>
      <c r="J498">
        <f t="shared" si="7"/>
        <v>77010000230</v>
      </c>
    </row>
    <row r="499" spans="1:10" x14ac:dyDescent="0.3">
      <c r="A499" s="42">
        <v>77010000217</v>
      </c>
      <c r="B499" s="20">
        <v>5</v>
      </c>
      <c r="C499" s="21" t="s">
        <v>0</v>
      </c>
      <c r="D499" s="20">
        <v>7.67</v>
      </c>
      <c r="E499" s="36">
        <v>18</v>
      </c>
      <c r="H499" t="str">
        <f>TRIM(Таблиця1[[#This Row],[Абонент]])</f>
        <v>77010000217</v>
      </c>
      <c r="J499">
        <f t="shared" si="7"/>
        <v>77010000217</v>
      </c>
    </row>
    <row r="500" spans="1:10" x14ac:dyDescent="0.3">
      <c r="A500" s="42">
        <v>77010000183</v>
      </c>
      <c r="B500" s="20">
        <v>5</v>
      </c>
      <c r="C500" s="21" t="s">
        <v>0</v>
      </c>
      <c r="D500" s="20">
        <v>8.1</v>
      </c>
      <c r="E500" s="36">
        <v>19</v>
      </c>
      <c r="H500" t="str">
        <f>TRIM(Таблиця1[[#This Row],[Абонент]])</f>
        <v>77010000183</v>
      </c>
      <c r="J500">
        <f t="shared" si="7"/>
        <v>77010000183</v>
      </c>
    </row>
    <row r="501" spans="1:10" x14ac:dyDescent="0.3">
      <c r="A501" s="42">
        <v>77010000176</v>
      </c>
      <c r="B501" s="20">
        <v>5</v>
      </c>
      <c r="C501" s="21" t="s">
        <v>0</v>
      </c>
      <c r="D501" s="20">
        <v>8.1</v>
      </c>
      <c r="E501" s="36">
        <v>19</v>
      </c>
      <c r="H501" t="str">
        <f>TRIM(Таблиця1[[#This Row],[Абонент]])</f>
        <v>77010000176</v>
      </c>
      <c r="J501">
        <f t="shared" si="7"/>
        <v>77010000176</v>
      </c>
    </row>
    <row r="502" spans="1:10" x14ac:dyDescent="0.3">
      <c r="A502" s="42">
        <v>77010000180</v>
      </c>
      <c r="B502" s="20">
        <v>5</v>
      </c>
      <c r="C502" s="21" t="s">
        <v>0</v>
      </c>
      <c r="D502" s="20">
        <v>8.1</v>
      </c>
      <c r="E502" s="36">
        <v>19</v>
      </c>
      <c r="H502" t="str">
        <f>TRIM(Таблиця1[[#This Row],[Абонент]])</f>
        <v>77010000180</v>
      </c>
      <c r="J502">
        <f t="shared" si="7"/>
        <v>77010000180</v>
      </c>
    </row>
    <row r="503" spans="1:10" x14ac:dyDescent="0.3">
      <c r="A503" s="42">
        <v>77010000232</v>
      </c>
      <c r="B503" s="20">
        <v>5</v>
      </c>
      <c r="C503" s="21" t="s">
        <v>0</v>
      </c>
      <c r="D503" s="20">
        <v>8.1</v>
      </c>
      <c r="E503" s="36">
        <v>19</v>
      </c>
      <c r="H503" t="str">
        <f>TRIM(Таблиця1[[#This Row],[Абонент]])</f>
        <v>77010000232</v>
      </c>
      <c r="J503">
        <f t="shared" si="7"/>
        <v>77010000232</v>
      </c>
    </row>
    <row r="504" spans="1:10" x14ac:dyDescent="0.3">
      <c r="A504" s="42">
        <v>77010000204</v>
      </c>
      <c r="B504" s="20">
        <v>5</v>
      </c>
      <c r="C504" s="21" t="s">
        <v>0</v>
      </c>
      <c r="D504" s="20">
        <v>8.52</v>
      </c>
      <c r="E504" s="36">
        <v>20</v>
      </c>
      <c r="H504" t="str">
        <f>TRIM(Таблиця1[[#This Row],[Абонент]])</f>
        <v>77010000204</v>
      </c>
      <c r="J504">
        <f t="shared" si="7"/>
        <v>77010000204</v>
      </c>
    </row>
    <row r="505" spans="1:10" x14ac:dyDescent="0.3">
      <c r="A505" s="42">
        <v>77010000208</v>
      </c>
      <c r="B505" s="20">
        <v>5</v>
      </c>
      <c r="C505" s="21" t="s">
        <v>2</v>
      </c>
      <c r="D505" s="20">
        <v>14.87</v>
      </c>
      <c r="E505" s="36">
        <v>20</v>
      </c>
      <c r="H505" t="str">
        <f>TRIM(Таблиця1[[#This Row],[Абонент]])</f>
        <v>77010000208</v>
      </c>
      <c r="J505" t="str">
        <f t="shared" si="7"/>
        <v/>
      </c>
    </row>
    <row r="506" spans="1:10" x14ac:dyDescent="0.3">
      <c r="A506" s="42">
        <v>77010000234</v>
      </c>
      <c r="B506" s="20">
        <v>5</v>
      </c>
      <c r="C506" s="21" t="s">
        <v>0</v>
      </c>
      <c r="D506" s="20">
        <v>8.52</v>
      </c>
      <c r="E506" s="36">
        <v>20</v>
      </c>
      <c r="H506" t="str">
        <f>TRIM(Таблиця1[[#This Row],[Абонент]])</f>
        <v>77010000234</v>
      </c>
      <c r="J506">
        <f t="shared" si="7"/>
        <v>77010000234</v>
      </c>
    </row>
    <row r="507" spans="1:10" x14ac:dyDescent="0.3">
      <c r="A507" s="42">
        <v>77010000196</v>
      </c>
      <c r="B507" s="20">
        <v>5</v>
      </c>
      <c r="C507" s="21" t="s">
        <v>0</v>
      </c>
      <c r="D507" s="20">
        <v>8.9499999999999993</v>
      </c>
      <c r="E507" s="36">
        <v>21</v>
      </c>
      <c r="H507" t="str">
        <f>TRIM(Таблиця1[[#This Row],[Абонент]])</f>
        <v>77010000196</v>
      </c>
      <c r="J507">
        <f t="shared" si="7"/>
        <v>77010000196</v>
      </c>
    </row>
    <row r="508" spans="1:10" x14ac:dyDescent="0.3">
      <c r="A508" s="42">
        <v>77010000170</v>
      </c>
      <c r="B508" s="20">
        <v>5</v>
      </c>
      <c r="C508" s="21" t="s">
        <v>0</v>
      </c>
      <c r="D508" s="20">
        <v>9.3800000000000008</v>
      </c>
      <c r="E508" s="36">
        <v>22</v>
      </c>
      <c r="H508" t="str">
        <f>TRIM(Таблиця1[[#This Row],[Абонент]])</f>
        <v>77010000170</v>
      </c>
      <c r="J508">
        <f t="shared" si="7"/>
        <v>77010000170</v>
      </c>
    </row>
    <row r="509" spans="1:10" x14ac:dyDescent="0.3">
      <c r="A509" s="42">
        <v>77010000173</v>
      </c>
      <c r="B509" s="20">
        <v>5</v>
      </c>
      <c r="C509" s="21" t="s">
        <v>0</v>
      </c>
      <c r="D509" s="20">
        <v>9.3800000000000008</v>
      </c>
      <c r="E509" s="36">
        <v>22</v>
      </c>
      <c r="H509" t="str">
        <f>TRIM(Таблиця1[[#This Row],[Абонент]])</f>
        <v>77010000173</v>
      </c>
      <c r="J509">
        <f t="shared" si="7"/>
        <v>77010000173</v>
      </c>
    </row>
    <row r="510" spans="1:10" x14ac:dyDescent="0.3">
      <c r="A510" s="42">
        <v>77010000211</v>
      </c>
      <c r="B510" s="20">
        <v>5</v>
      </c>
      <c r="C510" s="21" t="s">
        <v>0</v>
      </c>
      <c r="D510" s="20">
        <v>9.3800000000000008</v>
      </c>
      <c r="E510" s="36">
        <v>22</v>
      </c>
      <c r="H510" t="str">
        <f>TRIM(Таблиця1[[#This Row],[Абонент]])</f>
        <v>77010000211</v>
      </c>
      <c r="J510">
        <f t="shared" si="7"/>
        <v>77010000211</v>
      </c>
    </row>
    <row r="511" spans="1:10" x14ac:dyDescent="0.3">
      <c r="A511" s="42">
        <v>77010000181</v>
      </c>
      <c r="B511" s="20">
        <v>5</v>
      </c>
      <c r="C511" s="21" t="s">
        <v>0</v>
      </c>
      <c r="D511" s="20">
        <v>9.8000000000000007</v>
      </c>
      <c r="E511" s="36">
        <v>23</v>
      </c>
      <c r="H511" t="str">
        <f>TRIM(Таблиця1[[#This Row],[Абонент]])</f>
        <v>77010000181</v>
      </c>
      <c r="J511">
        <f t="shared" si="7"/>
        <v>77010000181</v>
      </c>
    </row>
    <row r="512" spans="1:10" x14ac:dyDescent="0.3">
      <c r="A512" s="42">
        <v>77010000186</v>
      </c>
      <c r="B512" s="20">
        <v>5</v>
      </c>
      <c r="C512" s="21" t="s">
        <v>0</v>
      </c>
      <c r="D512" s="20">
        <v>9.8000000000000007</v>
      </c>
      <c r="E512" s="36">
        <v>23</v>
      </c>
      <c r="H512" t="str">
        <f>TRIM(Таблиця1[[#This Row],[Абонент]])</f>
        <v>77010000186</v>
      </c>
      <c r="J512">
        <f t="shared" si="7"/>
        <v>77010000186</v>
      </c>
    </row>
    <row r="513" spans="1:10" x14ac:dyDescent="0.3">
      <c r="A513" s="42">
        <v>77010000229</v>
      </c>
      <c r="B513" s="20">
        <v>5</v>
      </c>
      <c r="C513" s="21" t="s">
        <v>0</v>
      </c>
      <c r="D513" s="20">
        <v>9.8000000000000007</v>
      </c>
      <c r="E513" s="36">
        <v>23</v>
      </c>
      <c r="H513" t="str">
        <f>TRIM(Таблиця1[[#This Row],[Абонент]])</f>
        <v>77010000229</v>
      </c>
      <c r="J513">
        <f t="shared" si="7"/>
        <v>77010000229</v>
      </c>
    </row>
    <row r="514" spans="1:10" x14ac:dyDescent="0.3">
      <c r="A514" s="42">
        <v>77010000205</v>
      </c>
      <c r="B514" s="20">
        <v>5</v>
      </c>
      <c r="C514" s="21" t="s">
        <v>0</v>
      </c>
      <c r="D514" s="20">
        <v>10.66</v>
      </c>
      <c r="E514" s="36">
        <v>25</v>
      </c>
      <c r="H514" t="str">
        <f>TRIM(Таблиця1[[#This Row],[Абонент]])</f>
        <v>77010000205</v>
      </c>
      <c r="J514">
        <f t="shared" si="7"/>
        <v>77010000205</v>
      </c>
    </row>
    <row r="515" spans="1:10" x14ac:dyDescent="0.3">
      <c r="A515" s="42">
        <v>77010000222</v>
      </c>
      <c r="B515" s="20">
        <v>5</v>
      </c>
      <c r="C515" s="21" t="s">
        <v>0</v>
      </c>
      <c r="D515" s="20">
        <v>11.08</v>
      </c>
      <c r="E515" s="36">
        <v>26</v>
      </c>
      <c r="H515" t="str">
        <f>TRIM(Таблиця1[[#This Row],[Абонент]])</f>
        <v>77010000222</v>
      </c>
      <c r="J515">
        <f t="shared" ref="J515:J578" si="8">IF(C515="Внутри сети",A515,"")</f>
        <v>77010000222</v>
      </c>
    </row>
    <row r="516" spans="1:10" x14ac:dyDescent="0.3">
      <c r="A516" s="42">
        <v>77010000225</v>
      </c>
      <c r="B516" s="20">
        <v>5</v>
      </c>
      <c r="C516" s="21" t="s">
        <v>0</v>
      </c>
      <c r="D516" s="20">
        <v>11.08</v>
      </c>
      <c r="E516" s="36">
        <v>26</v>
      </c>
      <c r="H516" t="str">
        <f>TRIM(Таблиця1[[#This Row],[Абонент]])</f>
        <v>77010000225</v>
      </c>
      <c r="J516">
        <f t="shared" si="8"/>
        <v>77010000225</v>
      </c>
    </row>
    <row r="517" spans="1:10" x14ac:dyDescent="0.3">
      <c r="A517" s="42">
        <v>77010000214</v>
      </c>
      <c r="B517" s="20">
        <v>5</v>
      </c>
      <c r="C517" s="21" t="s">
        <v>0</v>
      </c>
      <c r="D517" s="20">
        <v>11.93</v>
      </c>
      <c r="E517" s="36">
        <v>28</v>
      </c>
      <c r="H517" t="str">
        <f>TRIM(Таблиця1[[#This Row],[Абонент]])</f>
        <v>77010000214</v>
      </c>
      <c r="J517">
        <f t="shared" si="8"/>
        <v>77010000214</v>
      </c>
    </row>
    <row r="518" spans="1:10" x14ac:dyDescent="0.3">
      <c r="A518" s="42">
        <v>77010000211</v>
      </c>
      <c r="B518" s="20">
        <v>5</v>
      </c>
      <c r="C518" s="21" t="s">
        <v>0</v>
      </c>
      <c r="D518" s="20">
        <v>13.21</v>
      </c>
      <c r="E518" s="36">
        <v>31</v>
      </c>
      <c r="H518" t="str">
        <f>TRIM(Таблиця1[[#This Row],[Абонент]])</f>
        <v>77010000211</v>
      </c>
      <c r="J518">
        <f t="shared" si="8"/>
        <v>77010000211</v>
      </c>
    </row>
    <row r="519" spans="1:10" x14ac:dyDescent="0.3">
      <c r="A519" s="42">
        <v>77010000215</v>
      </c>
      <c r="B519" s="20">
        <v>5</v>
      </c>
      <c r="C519" s="21" t="s">
        <v>0</v>
      </c>
      <c r="D519" s="20">
        <v>14.06</v>
      </c>
      <c r="E519" s="36">
        <v>33</v>
      </c>
      <c r="H519" t="str">
        <f>TRIM(Таблиця1[[#This Row],[Абонент]])</f>
        <v>77010000215</v>
      </c>
      <c r="J519">
        <f t="shared" si="8"/>
        <v>77010000215</v>
      </c>
    </row>
    <row r="520" spans="1:10" x14ac:dyDescent="0.3">
      <c r="A520" s="42">
        <v>77010000262</v>
      </c>
      <c r="B520" s="20">
        <v>6</v>
      </c>
      <c r="C520" s="21" t="s">
        <v>0</v>
      </c>
      <c r="D520" s="20">
        <v>0</v>
      </c>
      <c r="E520" s="36">
        <v>0</v>
      </c>
      <c r="H520" t="str">
        <f>TRIM(Таблиця1[[#This Row],[Абонент]])</f>
        <v>77010000262</v>
      </c>
      <c r="J520">
        <f t="shared" si="8"/>
        <v>77010000262</v>
      </c>
    </row>
    <row r="521" spans="1:10" x14ac:dyDescent="0.3">
      <c r="A521" s="42">
        <v>77010000240</v>
      </c>
      <c r="B521" s="20">
        <v>6</v>
      </c>
      <c r="C521" s="21" t="s">
        <v>0</v>
      </c>
      <c r="D521" s="20">
        <v>4.26</v>
      </c>
      <c r="E521" s="36">
        <v>1</v>
      </c>
      <c r="H521" t="str">
        <f>TRIM(Таблиця1[[#This Row],[Абонент]])</f>
        <v>77010000240</v>
      </c>
      <c r="J521">
        <f t="shared" si="8"/>
        <v>77010000240</v>
      </c>
    </row>
    <row r="522" spans="1:10" x14ac:dyDescent="0.3">
      <c r="A522" s="42">
        <v>77010000244</v>
      </c>
      <c r="B522" s="20">
        <v>6</v>
      </c>
      <c r="C522" s="21" t="s">
        <v>0</v>
      </c>
      <c r="D522" s="20">
        <v>4.26</v>
      </c>
      <c r="E522" s="36">
        <v>1</v>
      </c>
      <c r="H522" t="str">
        <f>TRIM(Таблиця1[[#This Row],[Абонент]])</f>
        <v>77010000244</v>
      </c>
      <c r="J522">
        <f t="shared" si="8"/>
        <v>77010000244</v>
      </c>
    </row>
    <row r="523" spans="1:10" x14ac:dyDescent="0.3">
      <c r="A523" s="42">
        <v>77010000245</v>
      </c>
      <c r="B523" s="20">
        <v>6</v>
      </c>
      <c r="C523" s="21" t="s">
        <v>0</v>
      </c>
      <c r="D523" s="20">
        <v>4.26</v>
      </c>
      <c r="E523" s="36">
        <v>1</v>
      </c>
      <c r="H523" t="str">
        <f>TRIM(Таблиця1[[#This Row],[Абонент]])</f>
        <v>77010000245</v>
      </c>
      <c r="J523">
        <f t="shared" si="8"/>
        <v>77010000245</v>
      </c>
    </row>
    <row r="524" spans="1:10" x14ac:dyDescent="0.3">
      <c r="A524" s="42">
        <v>77010000247</v>
      </c>
      <c r="B524" s="20">
        <v>6</v>
      </c>
      <c r="C524" s="21" t="s">
        <v>0</v>
      </c>
      <c r="D524" s="20">
        <v>4.26</v>
      </c>
      <c r="E524" s="36">
        <v>1</v>
      </c>
      <c r="H524" t="str">
        <f>TRIM(Таблиця1[[#This Row],[Абонент]])</f>
        <v>77010000247</v>
      </c>
      <c r="J524">
        <f t="shared" si="8"/>
        <v>77010000247</v>
      </c>
    </row>
    <row r="525" spans="1:10" x14ac:dyDescent="0.3">
      <c r="A525" s="42">
        <v>77010000252</v>
      </c>
      <c r="B525" s="20">
        <v>6</v>
      </c>
      <c r="C525" s="21" t="s">
        <v>0</v>
      </c>
      <c r="D525" s="20">
        <v>4.26</v>
      </c>
      <c r="E525" s="36">
        <v>1</v>
      </c>
      <c r="H525" t="str">
        <f>TRIM(Таблиця1[[#This Row],[Абонент]])</f>
        <v>77010000252</v>
      </c>
      <c r="J525">
        <f t="shared" si="8"/>
        <v>77010000252</v>
      </c>
    </row>
    <row r="526" spans="1:10" x14ac:dyDescent="0.3">
      <c r="A526" s="42">
        <v>77010000269</v>
      </c>
      <c r="B526" s="20">
        <v>6</v>
      </c>
      <c r="C526" s="21" t="s">
        <v>0</v>
      </c>
      <c r="D526" s="20">
        <v>4.26</v>
      </c>
      <c r="E526" s="36">
        <v>1</v>
      </c>
      <c r="H526" t="str">
        <f>TRIM(Таблиця1[[#This Row],[Абонент]])</f>
        <v>77010000269</v>
      </c>
      <c r="J526">
        <f t="shared" si="8"/>
        <v>77010000269</v>
      </c>
    </row>
    <row r="527" spans="1:10" x14ac:dyDescent="0.3">
      <c r="A527" s="42">
        <v>77010000273</v>
      </c>
      <c r="B527" s="20">
        <v>6</v>
      </c>
      <c r="C527" s="21" t="s">
        <v>0</v>
      </c>
      <c r="D527" s="20">
        <v>4.26</v>
      </c>
      <c r="E527" s="36">
        <v>1</v>
      </c>
      <c r="H527" t="str">
        <f>TRIM(Таблиця1[[#This Row],[Абонент]])</f>
        <v>77010000273</v>
      </c>
      <c r="J527">
        <f t="shared" si="8"/>
        <v>77010000273</v>
      </c>
    </row>
    <row r="528" spans="1:10" x14ac:dyDescent="0.3">
      <c r="A528" s="42">
        <v>77010000287</v>
      </c>
      <c r="B528" s="20">
        <v>6</v>
      </c>
      <c r="C528" s="21" t="s">
        <v>0</v>
      </c>
      <c r="D528" s="20">
        <v>4.26</v>
      </c>
      <c r="E528" s="36">
        <v>1</v>
      </c>
      <c r="H528" t="str">
        <f>TRIM(Таблиця1[[#This Row],[Абонент]])</f>
        <v>77010000287</v>
      </c>
      <c r="J528">
        <f t="shared" si="8"/>
        <v>77010000287</v>
      </c>
    </row>
    <row r="529" spans="1:10" x14ac:dyDescent="0.3">
      <c r="A529" s="42">
        <v>77010000288</v>
      </c>
      <c r="B529" s="20">
        <v>6</v>
      </c>
      <c r="C529" s="21" t="s">
        <v>0</v>
      </c>
      <c r="D529" s="20">
        <v>4.26</v>
      </c>
      <c r="E529" s="36">
        <v>1</v>
      </c>
      <c r="H529" t="str">
        <f>TRIM(Таблиця1[[#This Row],[Абонент]])</f>
        <v>77010000288</v>
      </c>
      <c r="J529">
        <f t="shared" si="8"/>
        <v>77010000288</v>
      </c>
    </row>
    <row r="530" spans="1:10" x14ac:dyDescent="0.3">
      <c r="A530" s="42">
        <v>77010000291</v>
      </c>
      <c r="B530" s="20">
        <v>6</v>
      </c>
      <c r="C530" s="21" t="s">
        <v>0</v>
      </c>
      <c r="D530" s="20">
        <v>4.26</v>
      </c>
      <c r="E530" s="36">
        <v>1</v>
      </c>
      <c r="H530" t="str">
        <f>TRIM(Таблиця1[[#This Row],[Абонент]])</f>
        <v>77010000291</v>
      </c>
      <c r="J530">
        <f t="shared" si="8"/>
        <v>77010000291</v>
      </c>
    </row>
    <row r="531" spans="1:10" x14ac:dyDescent="0.3">
      <c r="A531" s="42">
        <v>77010000293</v>
      </c>
      <c r="B531" s="20">
        <v>6</v>
      </c>
      <c r="C531" s="21" t="s">
        <v>1</v>
      </c>
      <c r="D531" s="20">
        <v>7.43</v>
      </c>
      <c r="E531" s="36">
        <v>1</v>
      </c>
      <c r="H531" t="str">
        <f>TRIM(Таблиця1[[#This Row],[Абонент]])</f>
        <v>77010000293</v>
      </c>
      <c r="J531" t="str">
        <f t="shared" si="8"/>
        <v/>
      </c>
    </row>
    <row r="532" spans="1:10" x14ac:dyDescent="0.3">
      <c r="A532" s="42">
        <v>77010000310</v>
      </c>
      <c r="B532" s="20">
        <v>6</v>
      </c>
      <c r="C532" s="21" t="s">
        <v>0</v>
      </c>
      <c r="D532" s="20">
        <v>4.26</v>
      </c>
      <c r="E532" s="36">
        <v>1</v>
      </c>
      <c r="H532" t="str">
        <f>TRIM(Таблиця1[[#This Row],[Абонент]])</f>
        <v>77010000310</v>
      </c>
      <c r="J532">
        <f t="shared" si="8"/>
        <v>77010000310</v>
      </c>
    </row>
    <row r="533" spans="1:10" x14ac:dyDescent="0.3">
      <c r="A533" s="42">
        <v>77010000244</v>
      </c>
      <c r="B533" s="20">
        <v>6</v>
      </c>
      <c r="C533" s="21" t="s">
        <v>0</v>
      </c>
      <c r="D533" s="20">
        <v>4.26</v>
      </c>
      <c r="E533" s="36">
        <v>1</v>
      </c>
      <c r="H533" t="str">
        <f>TRIM(Таблиця1[[#This Row],[Абонент]])</f>
        <v>77010000244</v>
      </c>
      <c r="J533">
        <f t="shared" si="8"/>
        <v>77010000244</v>
      </c>
    </row>
    <row r="534" spans="1:10" x14ac:dyDescent="0.3">
      <c r="A534" s="42">
        <v>77010000271</v>
      </c>
      <c r="B534" s="20">
        <v>6</v>
      </c>
      <c r="C534" s="21" t="s">
        <v>1</v>
      </c>
      <c r="D534" s="20">
        <v>7.43</v>
      </c>
      <c r="E534" s="36">
        <v>1</v>
      </c>
      <c r="H534" t="str">
        <f>TRIM(Таблиця1[[#This Row],[Абонент]])</f>
        <v>77010000271</v>
      </c>
      <c r="J534" t="str">
        <f t="shared" si="8"/>
        <v/>
      </c>
    </row>
    <row r="535" spans="1:10" x14ac:dyDescent="0.3">
      <c r="A535" s="42">
        <v>77010000239</v>
      </c>
      <c r="B535" s="20">
        <v>6</v>
      </c>
      <c r="C535" s="21" t="s">
        <v>0</v>
      </c>
      <c r="D535" s="20">
        <v>4.26</v>
      </c>
      <c r="E535" s="36">
        <v>2</v>
      </c>
      <c r="H535" t="str">
        <f>TRIM(Таблиця1[[#This Row],[Абонент]])</f>
        <v>77010000239</v>
      </c>
      <c r="J535">
        <f t="shared" si="8"/>
        <v>77010000239</v>
      </c>
    </row>
    <row r="536" spans="1:10" x14ac:dyDescent="0.3">
      <c r="A536" s="42">
        <v>77010000243</v>
      </c>
      <c r="B536" s="20">
        <v>6</v>
      </c>
      <c r="C536" s="21" t="s">
        <v>0</v>
      </c>
      <c r="D536" s="20">
        <v>4.26</v>
      </c>
      <c r="E536" s="36">
        <v>2</v>
      </c>
      <c r="H536" t="str">
        <f>TRIM(Таблиця1[[#This Row],[Абонент]])</f>
        <v>77010000243</v>
      </c>
      <c r="J536">
        <f t="shared" si="8"/>
        <v>77010000243</v>
      </c>
    </row>
    <row r="537" spans="1:10" x14ac:dyDescent="0.3">
      <c r="A537" s="42">
        <v>77010000251</v>
      </c>
      <c r="B537" s="20">
        <v>6</v>
      </c>
      <c r="C537" s="21" t="s">
        <v>0</v>
      </c>
      <c r="D537" s="20">
        <v>4.26</v>
      </c>
      <c r="E537" s="36">
        <v>2</v>
      </c>
      <c r="H537" t="str">
        <f>TRIM(Таблиця1[[#This Row],[Абонент]])</f>
        <v>77010000251</v>
      </c>
      <c r="J537">
        <f t="shared" si="8"/>
        <v>77010000251</v>
      </c>
    </row>
    <row r="538" spans="1:10" x14ac:dyDescent="0.3">
      <c r="A538" s="42">
        <v>77010000306</v>
      </c>
      <c r="B538" s="20">
        <v>6</v>
      </c>
      <c r="C538" s="21" t="s">
        <v>0</v>
      </c>
      <c r="D538" s="20">
        <v>4.26</v>
      </c>
      <c r="E538" s="36">
        <v>2</v>
      </c>
      <c r="H538" t="str">
        <f>TRIM(Таблиця1[[#This Row],[Абонент]])</f>
        <v>77010000306</v>
      </c>
      <c r="J538">
        <f t="shared" si="8"/>
        <v>77010000306</v>
      </c>
    </row>
    <row r="539" spans="1:10" x14ac:dyDescent="0.3">
      <c r="A539" s="42">
        <v>77010000273</v>
      </c>
      <c r="B539" s="20">
        <v>6</v>
      </c>
      <c r="C539" s="21" t="s">
        <v>0</v>
      </c>
      <c r="D539" s="20">
        <v>4.26</v>
      </c>
      <c r="E539" s="36">
        <v>2</v>
      </c>
      <c r="H539" t="str">
        <f>TRIM(Таблиця1[[#This Row],[Абонент]])</f>
        <v>77010000273</v>
      </c>
      <c r="J539">
        <f t="shared" si="8"/>
        <v>77010000273</v>
      </c>
    </row>
    <row r="540" spans="1:10" x14ac:dyDescent="0.3">
      <c r="A540" s="42">
        <v>77010000279</v>
      </c>
      <c r="B540" s="20">
        <v>6</v>
      </c>
      <c r="C540" s="21" t="s">
        <v>0</v>
      </c>
      <c r="D540" s="20">
        <v>4.26</v>
      </c>
      <c r="E540" s="36">
        <v>2</v>
      </c>
      <c r="H540" t="str">
        <f>TRIM(Таблиця1[[#This Row],[Абонент]])</f>
        <v>77010000279</v>
      </c>
      <c r="J540">
        <f t="shared" si="8"/>
        <v>77010000279</v>
      </c>
    </row>
    <row r="541" spans="1:10" x14ac:dyDescent="0.3">
      <c r="A541" s="42">
        <v>77010000281</v>
      </c>
      <c r="B541" s="20">
        <v>6</v>
      </c>
      <c r="C541" s="21" t="s">
        <v>0</v>
      </c>
      <c r="D541" s="20">
        <v>4.26</v>
      </c>
      <c r="E541" s="36">
        <v>2</v>
      </c>
      <c r="H541" t="str">
        <f>TRIM(Таблиця1[[#This Row],[Абонент]])</f>
        <v>77010000281</v>
      </c>
      <c r="J541">
        <f t="shared" si="8"/>
        <v>77010000281</v>
      </c>
    </row>
    <row r="542" spans="1:10" x14ac:dyDescent="0.3">
      <c r="A542" s="42">
        <v>77010000238</v>
      </c>
      <c r="B542" s="20">
        <v>6</v>
      </c>
      <c r="C542" s="21" t="s">
        <v>0</v>
      </c>
      <c r="D542" s="20">
        <v>4.26</v>
      </c>
      <c r="E542" s="36">
        <v>3</v>
      </c>
      <c r="H542" t="str">
        <f>TRIM(Таблиця1[[#This Row],[Абонент]])</f>
        <v>77010000238</v>
      </c>
      <c r="J542">
        <f t="shared" si="8"/>
        <v>77010000238</v>
      </c>
    </row>
    <row r="543" spans="1:10" x14ac:dyDescent="0.3">
      <c r="A543" s="42">
        <v>77010000246</v>
      </c>
      <c r="B543" s="20">
        <v>6</v>
      </c>
      <c r="C543" s="21" t="s">
        <v>0</v>
      </c>
      <c r="D543" s="20">
        <v>4.26</v>
      </c>
      <c r="E543" s="36">
        <v>3</v>
      </c>
      <c r="H543" t="str">
        <f>TRIM(Таблиця1[[#This Row],[Абонент]])</f>
        <v>77010000246</v>
      </c>
      <c r="J543">
        <f t="shared" si="8"/>
        <v>77010000246</v>
      </c>
    </row>
    <row r="544" spans="1:10" x14ac:dyDescent="0.3">
      <c r="A544" s="42">
        <v>77010000248</v>
      </c>
      <c r="B544" s="20">
        <v>6</v>
      </c>
      <c r="C544" s="21" t="s">
        <v>0</v>
      </c>
      <c r="D544" s="20">
        <v>4.26</v>
      </c>
      <c r="E544" s="36">
        <v>3</v>
      </c>
      <c r="H544" t="str">
        <f>TRIM(Таблиця1[[#This Row],[Абонент]])</f>
        <v>77010000248</v>
      </c>
      <c r="J544">
        <f t="shared" si="8"/>
        <v>77010000248</v>
      </c>
    </row>
    <row r="545" spans="1:10" x14ac:dyDescent="0.3">
      <c r="A545" s="42">
        <v>77010000281</v>
      </c>
      <c r="B545" s="20">
        <v>6</v>
      </c>
      <c r="C545" s="21" t="s">
        <v>0</v>
      </c>
      <c r="D545" s="20">
        <v>4.26</v>
      </c>
      <c r="E545" s="36">
        <v>3</v>
      </c>
      <c r="H545" t="str">
        <f>TRIM(Таблиця1[[#This Row],[Абонент]])</f>
        <v>77010000281</v>
      </c>
      <c r="J545">
        <f t="shared" si="8"/>
        <v>77010000281</v>
      </c>
    </row>
    <row r="546" spans="1:10" x14ac:dyDescent="0.3">
      <c r="A546" s="42">
        <v>77010000270</v>
      </c>
      <c r="B546" s="20">
        <v>6</v>
      </c>
      <c r="C546" s="21" t="s">
        <v>0</v>
      </c>
      <c r="D546" s="20">
        <v>4.26</v>
      </c>
      <c r="E546" s="36">
        <v>3</v>
      </c>
      <c r="H546" t="str">
        <f>TRIM(Таблиця1[[#This Row],[Абонент]])</f>
        <v>77010000270</v>
      </c>
      <c r="J546">
        <f t="shared" si="8"/>
        <v>77010000270</v>
      </c>
    </row>
    <row r="547" spans="1:10" x14ac:dyDescent="0.3">
      <c r="A547" s="42">
        <v>77010000271</v>
      </c>
      <c r="B547" s="20">
        <v>6</v>
      </c>
      <c r="C547" s="21" t="s">
        <v>0</v>
      </c>
      <c r="D547" s="20">
        <v>4.26</v>
      </c>
      <c r="E547" s="36">
        <v>4</v>
      </c>
      <c r="H547" t="str">
        <f>TRIM(Таблиця1[[#This Row],[Абонент]])</f>
        <v>77010000271</v>
      </c>
      <c r="J547">
        <f t="shared" si="8"/>
        <v>77010000271</v>
      </c>
    </row>
    <row r="548" spans="1:10" x14ac:dyDescent="0.3">
      <c r="A548" s="42">
        <v>77010000294</v>
      </c>
      <c r="B548" s="20">
        <v>6</v>
      </c>
      <c r="C548" s="21" t="s">
        <v>0</v>
      </c>
      <c r="D548" s="20">
        <v>4.26</v>
      </c>
      <c r="E548" s="36">
        <v>4</v>
      </c>
      <c r="H548" t="str">
        <f>TRIM(Таблиця1[[#This Row],[Абонент]])</f>
        <v>77010000294</v>
      </c>
      <c r="J548">
        <f t="shared" si="8"/>
        <v>77010000294</v>
      </c>
    </row>
    <row r="549" spans="1:10" x14ac:dyDescent="0.3">
      <c r="A549" s="42">
        <v>77010000290</v>
      </c>
      <c r="B549" s="20">
        <v>6</v>
      </c>
      <c r="C549" s="21" t="s">
        <v>0</v>
      </c>
      <c r="D549" s="20">
        <v>4.26</v>
      </c>
      <c r="E549" s="36">
        <v>4</v>
      </c>
      <c r="H549" t="str">
        <f>TRIM(Таблиця1[[#This Row],[Абонент]])</f>
        <v>77010000290</v>
      </c>
      <c r="J549">
        <f t="shared" si="8"/>
        <v>77010000290</v>
      </c>
    </row>
    <row r="550" spans="1:10" x14ac:dyDescent="0.3">
      <c r="A550" s="42">
        <v>77010000258</v>
      </c>
      <c r="B550" s="20">
        <v>6</v>
      </c>
      <c r="C550" s="21" t="s">
        <v>0</v>
      </c>
      <c r="D550" s="20">
        <v>0</v>
      </c>
      <c r="E550" s="36">
        <v>4</v>
      </c>
      <c r="H550" t="str">
        <f>TRIM(Таблиця1[[#This Row],[Абонент]])</f>
        <v>77010000258</v>
      </c>
      <c r="J550">
        <f t="shared" si="8"/>
        <v>77010000258</v>
      </c>
    </row>
    <row r="551" spans="1:10" x14ac:dyDescent="0.3">
      <c r="A551" s="42">
        <v>77010000288</v>
      </c>
      <c r="B551" s="20">
        <v>6</v>
      </c>
      <c r="C551" s="21" t="s">
        <v>0</v>
      </c>
      <c r="D551" s="20">
        <v>4.26</v>
      </c>
      <c r="E551" s="36">
        <v>4</v>
      </c>
      <c r="H551" t="str">
        <f>TRIM(Таблиця1[[#This Row],[Абонент]])</f>
        <v>77010000288</v>
      </c>
      <c r="J551">
        <f t="shared" si="8"/>
        <v>77010000288</v>
      </c>
    </row>
    <row r="552" spans="1:10" x14ac:dyDescent="0.3">
      <c r="A552" s="42">
        <v>77010000270</v>
      </c>
      <c r="B552" s="20">
        <v>6</v>
      </c>
      <c r="C552" s="21" t="s">
        <v>0</v>
      </c>
      <c r="D552" s="20">
        <v>4.26</v>
      </c>
      <c r="E552" s="36">
        <v>5</v>
      </c>
      <c r="H552" t="str">
        <f>TRIM(Таблиця1[[#This Row],[Абонент]])</f>
        <v>77010000270</v>
      </c>
      <c r="J552">
        <f t="shared" si="8"/>
        <v>77010000270</v>
      </c>
    </row>
    <row r="553" spans="1:10" x14ac:dyDescent="0.3">
      <c r="A553" s="42">
        <v>77010000285</v>
      </c>
      <c r="B553" s="20">
        <v>6</v>
      </c>
      <c r="C553" s="21" t="s">
        <v>0</v>
      </c>
      <c r="D553" s="20">
        <v>4.26</v>
      </c>
      <c r="E553" s="36">
        <v>5</v>
      </c>
      <c r="H553" t="str">
        <f>TRIM(Таблиця1[[#This Row],[Абонент]])</f>
        <v>77010000285</v>
      </c>
      <c r="J553">
        <f t="shared" si="8"/>
        <v>77010000285</v>
      </c>
    </row>
    <row r="554" spans="1:10" x14ac:dyDescent="0.3">
      <c r="A554" s="42">
        <v>77010000295</v>
      </c>
      <c r="B554" s="20">
        <v>6</v>
      </c>
      <c r="C554" s="21" t="s">
        <v>0</v>
      </c>
      <c r="D554" s="20">
        <v>4.26</v>
      </c>
      <c r="E554" s="36">
        <v>5</v>
      </c>
      <c r="H554" t="str">
        <f>TRIM(Таблиця1[[#This Row],[Абонент]])</f>
        <v>77010000295</v>
      </c>
      <c r="J554">
        <f t="shared" si="8"/>
        <v>77010000295</v>
      </c>
    </row>
    <row r="555" spans="1:10" x14ac:dyDescent="0.3">
      <c r="A555" s="42">
        <v>77010000312</v>
      </c>
      <c r="B555" s="20">
        <v>6</v>
      </c>
      <c r="C555" s="21" t="s">
        <v>0</v>
      </c>
      <c r="D555" s="20">
        <v>4.26</v>
      </c>
      <c r="E555" s="36">
        <v>5</v>
      </c>
      <c r="H555" t="str">
        <f>TRIM(Таблиця1[[#This Row],[Абонент]])</f>
        <v>77010000312</v>
      </c>
      <c r="J555">
        <f t="shared" si="8"/>
        <v>77010000312</v>
      </c>
    </row>
    <row r="556" spans="1:10" x14ac:dyDescent="0.3">
      <c r="A556" s="42">
        <v>77010000248</v>
      </c>
      <c r="B556" s="20">
        <v>6</v>
      </c>
      <c r="C556" s="21" t="s">
        <v>0</v>
      </c>
      <c r="D556" s="20">
        <v>4.26</v>
      </c>
      <c r="E556" s="36">
        <v>5</v>
      </c>
      <c r="H556" t="str">
        <f>TRIM(Таблиця1[[#This Row],[Абонент]])</f>
        <v>77010000248</v>
      </c>
      <c r="J556">
        <f t="shared" si="8"/>
        <v>77010000248</v>
      </c>
    </row>
    <row r="557" spans="1:10" x14ac:dyDescent="0.3">
      <c r="A557" s="42">
        <v>77010000241</v>
      </c>
      <c r="B557" s="20">
        <v>6</v>
      </c>
      <c r="C557" s="21" t="s">
        <v>0</v>
      </c>
      <c r="D557" s="20">
        <v>4.26</v>
      </c>
      <c r="E557" s="36">
        <v>6</v>
      </c>
      <c r="H557" t="str">
        <f>TRIM(Таблиця1[[#This Row],[Абонент]])</f>
        <v>77010000241</v>
      </c>
      <c r="J557">
        <f t="shared" si="8"/>
        <v>77010000241</v>
      </c>
    </row>
    <row r="558" spans="1:10" x14ac:dyDescent="0.3">
      <c r="A558" s="42">
        <v>77010000242</v>
      </c>
      <c r="B558" s="20">
        <v>6</v>
      </c>
      <c r="C558" s="21" t="s">
        <v>0</v>
      </c>
      <c r="D558" s="20">
        <v>4.26</v>
      </c>
      <c r="E558" s="36">
        <v>6</v>
      </c>
      <c r="H558" t="str">
        <f>TRIM(Таблиця1[[#This Row],[Абонент]])</f>
        <v>77010000242</v>
      </c>
      <c r="J558">
        <f t="shared" si="8"/>
        <v>77010000242</v>
      </c>
    </row>
    <row r="559" spans="1:10" x14ac:dyDescent="0.3">
      <c r="A559" s="42">
        <v>77010000249</v>
      </c>
      <c r="B559" s="20">
        <v>6</v>
      </c>
      <c r="C559" s="21" t="s">
        <v>0</v>
      </c>
      <c r="D559" s="20">
        <v>4.26</v>
      </c>
      <c r="E559" s="36">
        <v>6</v>
      </c>
      <c r="H559" t="str">
        <f>TRIM(Таблиця1[[#This Row],[Абонент]])</f>
        <v>77010000249</v>
      </c>
      <c r="J559">
        <f t="shared" si="8"/>
        <v>77010000249</v>
      </c>
    </row>
    <row r="560" spans="1:10" x14ac:dyDescent="0.3">
      <c r="A560" s="42">
        <v>77010000257</v>
      </c>
      <c r="B560" s="20">
        <v>6</v>
      </c>
      <c r="C560" s="21" t="s">
        <v>0</v>
      </c>
      <c r="D560" s="20">
        <v>4.26</v>
      </c>
      <c r="E560" s="36">
        <v>6</v>
      </c>
      <c r="H560" t="str">
        <f>TRIM(Таблиця1[[#This Row],[Абонент]])</f>
        <v>77010000257</v>
      </c>
      <c r="J560">
        <f t="shared" si="8"/>
        <v>77010000257</v>
      </c>
    </row>
    <row r="561" spans="1:10" x14ac:dyDescent="0.3">
      <c r="A561" s="42">
        <v>77010000289</v>
      </c>
      <c r="B561" s="20">
        <v>6</v>
      </c>
      <c r="C561" s="21" t="s">
        <v>0</v>
      </c>
      <c r="D561" s="20">
        <v>4.26</v>
      </c>
      <c r="E561" s="36">
        <v>6</v>
      </c>
      <c r="H561" t="str">
        <f>TRIM(Таблиця1[[#This Row],[Абонент]])</f>
        <v>77010000289</v>
      </c>
      <c r="J561">
        <f t="shared" si="8"/>
        <v>77010000289</v>
      </c>
    </row>
    <row r="562" spans="1:10" x14ac:dyDescent="0.3">
      <c r="A562" s="42">
        <v>77010000290</v>
      </c>
      <c r="B562" s="20">
        <v>6</v>
      </c>
      <c r="C562" s="21" t="s">
        <v>0</v>
      </c>
      <c r="D562" s="20">
        <v>4.26</v>
      </c>
      <c r="E562" s="36">
        <v>6</v>
      </c>
      <c r="H562" t="str">
        <f>TRIM(Таблиця1[[#This Row],[Абонент]])</f>
        <v>77010000290</v>
      </c>
      <c r="J562">
        <f t="shared" si="8"/>
        <v>77010000290</v>
      </c>
    </row>
    <row r="563" spans="1:10" x14ac:dyDescent="0.3">
      <c r="A563" s="42">
        <v>77010000250</v>
      </c>
      <c r="B563" s="20">
        <v>6</v>
      </c>
      <c r="C563" s="21" t="s">
        <v>0</v>
      </c>
      <c r="D563" s="20">
        <v>4.26</v>
      </c>
      <c r="E563" s="36">
        <v>7</v>
      </c>
      <c r="H563" t="str">
        <f>TRIM(Таблиця1[[#This Row],[Абонент]])</f>
        <v>77010000250</v>
      </c>
      <c r="J563">
        <f t="shared" si="8"/>
        <v>77010000250</v>
      </c>
    </row>
    <row r="564" spans="1:10" x14ac:dyDescent="0.3">
      <c r="A564" s="42">
        <v>77010000292</v>
      </c>
      <c r="B564" s="20">
        <v>6</v>
      </c>
      <c r="C564" s="21" t="s">
        <v>0</v>
      </c>
      <c r="D564" s="20">
        <v>4.26</v>
      </c>
      <c r="E564" s="36">
        <v>7</v>
      </c>
      <c r="H564" t="str">
        <f>TRIM(Таблиця1[[#This Row],[Абонент]])</f>
        <v>77010000292</v>
      </c>
      <c r="J564">
        <f t="shared" si="8"/>
        <v>77010000292</v>
      </c>
    </row>
    <row r="565" spans="1:10" x14ac:dyDescent="0.3">
      <c r="A565" s="42">
        <v>77010000243</v>
      </c>
      <c r="B565" s="20">
        <v>6</v>
      </c>
      <c r="C565" s="21" t="s">
        <v>0</v>
      </c>
      <c r="D565" s="20">
        <v>4.26</v>
      </c>
      <c r="E565" s="36">
        <v>7</v>
      </c>
      <c r="H565" t="str">
        <f>TRIM(Таблиця1[[#This Row],[Абонент]])</f>
        <v>77010000243</v>
      </c>
      <c r="J565">
        <f t="shared" si="8"/>
        <v>77010000243</v>
      </c>
    </row>
    <row r="566" spans="1:10" x14ac:dyDescent="0.3">
      <c r="A566" s="42">
        <v>77010000254</v>
      </c>
      <c r="B566" s="20">
        <v>6</v>
      </c>
      <c r="C566" s="21" t="s">
        <v>0</v>
      </c>
      <c r="D566" s="20">
        <v>4.26</v>
      </c>
      <c r="E566" s="36">
        <v>7</v>
      </c>
      <c r="H566" t="str">
        <f>TRIM(Таблиця1[[#This Row],[Абонент]])</f>
        <v>77010000254</v>
      </c>
      <c r="J566">
        <f t="shared" si="8"/>
        <v>77010000254</v>
      </c>
    </row>
    <row r="567" spans="1:10" x14ac:dyDescent="0.3">
      <c r="A567" s="42">
        <v>77010000258</v>
      </c>
      <c r="B567" s="20">
        <v>6</v>
      </c>
      <c r="C567" s="21" t="s">
        <v>0</v>
      </c>
      <c r="D567" s="20">
        <v>4.26</v>
      </c>
      <c r="E567" s="36">
        <v>7</v>
      </c>
      <c r="H567" t="str">
        <f>TRIM(Таблиця1[[#This Row],[Абонент]])</f>
        <v>77010000258</v>
      </c>
      <c r="J567">
        <f t="shared" si="8"/>
        <v>77010000258</v>
      </c>
    </row>
    <row r="568" spans="1:10" x14ac:dyDescent="0.3">
      <c r="A568" s="42">
        <v>77010000293</v>
      </c>
      <c r="B568" s="20">
        <v>6</v>
      </c>
      <c r="C568" s="21" t="s">
        <v>0</v>
      </c>
      <c r="D568" s="20">
        <v>4.26</v>
      </c>
      <c r="E568" s="36">
        <v>7</v>
      </c>
      <c r="H568" t="str">
        <f>TRIM(Таблиця1[[#This Row],[Абонент]])</f>
        <v>77010000293</v>
      </c>
      <c r="J568">
        <f t="shared" si="8"/>
        <v>77010000293</v>
      </c>
    </row>
    <row r="569" spans="1:10" x14ac:dyDescent="0.3">
      <c r="A569" s="42">
        <v>77010000260</v>
      </c>
      <c r="B569" s="20">
        <v>6</v>
      </c>
      <c r="C569" s="21" t="s">
        <v>0</v>
      </c>
      <c r="D569" s="20">
        <v>4.26</v>
      </c>
      <c r="E569" s="36">
        <v>8</v>
      </c>
      <c r="H569" t="str">
        <f>TRIM(Таблиця1[[#This Row],[Абонент]])</f>
        <v>77010000260</v>
      </c>
      <c r="J569">
        <f t="shared" si="8"/>
        <v>77010000260</v>
      </c>
    </row>
    <row r="570" spans="1:10" x14ac:dyDescent="0.3">
      <c r="A570" s="42">
        <v>77010000261</v>
      </c>
      <c r="B570" s="20">
        <v>6</v>
      </c>
      <c r="C570" s="21" t="s">
        <v>0</v>
      </c>
      <c r="D570" s="20">
        <v>4.26</v>
      </c>
      <c r="E570" s="36">
        <v>8</v>
      </c>
      <c r="H570" t="str">
        <f>TRIM(Таблиця1[[#This Row],[Абонент]])</f>
        <v>77010000261</v>
      </c>
      <c r="J570">
        <f t="shared" si="8"/>
        <v>77010000261</v>
      </c>
    </row>
    <row r="571" spans="1:10" x14ac:dyDescent="0.3">
      <c r="A571" s="42">
        <v>77010000282</v>
      </c>
      <c r="B571" s="20">
        <v>6</v>
      </c>
      <c r="C571" s="21" t="s">
        <v>0</v>
      </c>
      <c r="D571" s="20">
        <v>4.26</v>
      </c>
      <c r="E571" s="36">
        <v>8</v>
      </c>
      <c r="H571" t="str">
        <f>TRIM(Таблиця1[[#This Row],[Абонент]])</f>
        <v>77010000282</v>
      </c>
      <c r="J571">
        <f t="shared" si="8"/>
        <v>77010000282</v>
      </c>
    </row>
    <row r="572" spans="1:10" x14ac:dyDescent="0.3">
      <c r="A572" s="42">
        <v>77010000255</v>
      </c>
      <c r="B572" s="20">
        <v>6</v>
      </c>
      <c r="C572" s="21" t="s">
        <v>0</v>
      </c>
      <c r="D572" s="20">
        <v>4.26</v>
      </c>
      <c r="E572" s="36">
        <v>8</v>
      </c>
      <c r="H572" t="str">
        <f>TRIM(Таблиця1[[#This Row],[Абонент]])</f>
        <v>77010000255</v>
      </c>
      <c r="J572">
        <f t="shared" si="8"/>
        <v>77010000255</v>
      </c>
    </row>
    <row r="573" spans="1:10" x14ac:dyDescent="0.3">
      <c r="A573" s="42">
        <v>77010000307</v>
      </c>
      <c r="B573" s="20">
        <v>6</v>
      </c>
      <c r="C573" s="21" t="s">
        <v>0</v>
      </c>
      <c r="D573" s="20">
        <v>4.26</v>
      </c>
      <c r="E573" s="36">
        <v>8</v>
      </c>
      <c r="H573" t="str">
        <f>TRIM(Таблиця1[[#This Row],[Абонент]])</f>
        <v>77010000307</v>
      </c>
      <c r="J573">
        <f t="shared" si="8"/>
        <v>77010000307</v>
      </c>
    </row>
    <row r="574" spans="1:10" x14ac:dyDescent="0.3">
      <c r="A574" s="42">
        <v>77010000274</v>
      </c>
      <c r="B574" s="20">
        <v>6</v>
      </c>
      <c r="C574" s="21" t="s">
        <v>0</v>
      </c>
      <c r="D574" s="20">
        <v>4.26</v>
      </c>
      <c r="E574" s="36">
        <v>9</v>
      </c>
      <c r="H574" t="str">
        <f>TRIM(Таблиця1[[#This Row],[Абонент]])</f>
        <v>77010000274</v>
      </c>
      <c r="J574">
        <f t="shared" si="8"/>
        <v>77010000274</v>
      </c>
    </row>
    <row r="575" spans="1:10" x14ac:dyDescent="0.3">
      <c r="A575" s="42">
        <v>77010000287</v>
      </c>
      <c r="B575" s="20">
        <v>6</v>
      </c>
      <c r="C575" s="21" t="s">
        <v>0</v>
      </c>
      <c r="D575" s="20">
        <v>4.26</v>
      </c>
      <c r="E575" s="36">
        <v>9</v>
      </c>
      <c r="H575" t="str">
        <f>TRIM(Таблиця1[[#This Row],[Абонент]])</f>
        <v>77010000287</v>
      </c>
      <c r="J575">
        <f t="shared" si="8"/>
        <v>77010000287</v>
      </c>
    </row>
    <row r="576" spans="1:10" x14ac:dyDescent="0.3">
      <c r="A576" s="42">
        <v>77010000306</v>
      </c>
      <c r="B576" s="20">
        <v>6</v>
      </c>
      <c r="C576" s="21" t="s">
        <v>0</v>
      </c>
      <c r="D576" s="20">
        <v>4.26</v>
      </c>
      <c r="E576" s="36">
        <v>9</v>
      </c>
      <c r="H576" t="str">
        <f>TRIM(Таблиця1[[#This Row],[Абонент]])</f>
        <v>77010000306</v>
      </c>
      <c r="J576">
        <f t="shared" si="8"/>
        <v>77010000306</v>
      </c>
    </row>
    <row r="577" spans="1:10" x14ac:dyDescent="0.3">
      <c r="A577" s="42">
        <v>77010000256</v>
      </c>
      <c r="B577" s="20">
        <v>6</v>
      </c>
      <c r="C577" s="21" t="s">
        <v>0</v>
      </c>
      <c r="D577" s="20">
        <v>4.26</v>
      </c>
      <c r="E577" s="36">
        <v>10</v>
      </c>
      <c r="H577" t="str">
        <f>TRIM(Таблиця1[[#This Row],[Абонент]])</f>
        <v>77010000256</v>
      </c>
      <c r="J577">
        <f t="shared" si="8"/>
        <v>77010000256</v>
      </c>
    </row>
    <row r="578" spans="1:10" x14ac:dyDescent="0.3">
      <c r="A578" s="42">
        <v>77010000308</v>
      </c>
      <c r="B578" s="20">
        <v>6</v>
      </c>
      <c r="C578" s="21" t="s">
        <v>0</v>
      </c>
      <c r="D578" s="20">
        <v>4.26</v>
      </c>
      <c r="E578" s="36">
        <v>10</v>
      </c>
      <c r="H578" t="str">
        <f>TRIM(Таблиця1[[#This Row],[Абонент]])</f>
        <v>77010000308</v>
      </c>
      <c r="J578">
        <f t="shared" si="8"/>
        <v>77010000308</v>
      </c>
    </row>
    <row r="579" spans="1:10" x14ac:dyDescent="0.3">
      <c r="A579" s="42">
        <v>77010000275</v>
      </c>
      <c r="B579" s="20">
        <v>6</v>
      </c>
      <c r="C579" s="21" t="s">
        <v>0</v>
      </c>
      <c r="D579" s="20">
        <v>4.26</v>
      </c>
      <c r="E579" s="36">
        <v>10</v>
      </c>
      <c r="H579" t="str">
        <f>TRIM(Таблиця1[[#This Row],[Абонент]])</f>
        <v>77010000275</v>
      </c>
      <c r="J579">
        <f t="shared" ref="J579:J624" si="9">IF(C579="Внутри сети",A579,"")</f>
        <v>77010000275</v>
      </c>
    </row>
    <row r="580" spans="1:10" x14ac:dyDescent="0.3">
      <c r="A580" s="42">
        <v>77010000310</v>
      </c>
      <c r="B580" s="20">
        <v>6</v>
      </c>
      <c r="C580" s="21" t="s">
        <v>0</v>
      </c>
      <c r="D580" s="20">
        <v>4.26</v>
      </c>
      <c r="E580" s="36">
        <v>10</v>
      </c>
      <c r="H580" t="str">
        <f>TRIM(Таблиця1[[#This Row],[Абонент]])</f>
        <v>77010000310</v>
      </c>
      <c r="J580">
        <f t="shared" si="9"/>
        <v>77010000310</v>
      </c>
    </row>
    <row r="581" spans="1:10" x14ac:dyDescent="0.3">
      <c r="A581" s="42">
        <v>77010000311</v>
      </c>
      <c r="B581" s="20">
        <v>6</v>
      </c>
      <c r="C581" s="21" t="s">
        <v>0</v>
      </c>
      <c r="D581" s="20">
        <v>4.26</v>
      </c>
      <c r="E581" s="36">
        <v>10</v>
      </c>
      <c r="H581" t="str">
        <f>TRIM(Таблиця1[[#This Row],[Абонент]])</f>
        <v>77010000311</v>
      </c>
      <c r="J581">
        <f t="shared" si="9"/>
        <v>77010000311</v>
      </c>
    </row>
    <row r="582" spans="1:10" x14ac:dyDescent="0.3">
      <c r="A582" s="42">
        <v>77010000245</v>
      </c>
      <c r="B582" s="20">
        <v>6</v>
      </c>
      <c r="C582" s="21" t="s">
        <v>0</v>
      </c>
      <c r="D582" s="20">
        <v>4.26</v>
      </c>
      <c r="E582" s="36">
        <v>10</v>
      </c>
      <c r="H582" t="str">
        <f>TRIM(Таблиця1[[#This Row],[Абонент]])</f>
        <v>77010000245</v>
      </c>
      <c r="J582">
        <f t="shared" si="9"/>
        <v>77010000245</v>
      </c>
    </row>
    <row r="583" spans="1:10" x14ac:dyDescent="0.3">
      <c r="A583" s="42">
        <v>77010000259</v>
      </c>
      <c r="B583" s="20">
        <v>6</v>
      </c>
      <c r="C583" s="21" t="s">
        <v>0</v>
      </c>
      <c r="D583" s="20">
        <v>4.26</v>
      </c>
      <c r="E583" s="36">
        <v>10</v>
      </c>
      <c r="H583" t="str">
        <f>TRIM(Таблиця1[[#This Row],[Абонент]])</f>
        <v>77010000259</v>
      </c>
      <c r="J583">
        <f t="shared" si="9"/>
        <v>77010000259</v>
      </c>
    </row>
    <row r="584" spans="1:10" x14ac:dyDescent="0.3">
      <c r="A584" s="42">
        <v>77010000272</v>
      </c>
      <c r="B584" s="20">
        <v>6</v>
      </c>
      <c r="C584" s="21" t="s">
        <v>0</v>
      </c>
      <c r="D584" s="20">
        <v>4.26</v>
      </c>
      <c r="E584" s="36">
        <v>10</v>
      </c>
      <c r="H584" t="str">
        <f>TRIM(Таблиця1[[#This Row],[Абонент]])</f>
        <v>77010000272</v>
      </c>
      <c r="J584">
        <f t="shared" si="9"/>
        <v>77010000272</v>
      </c>
    </row>
    <row r="585" spans="1:10" x14ac:dyDescent="0.3">
      <c r="A585" s="42">
        <v>77010000268</v>
      </c>
      <c r="B585" s="20">
        <v>6</v>
      </c>
      <c r="C585" s="21" t="s">
        <v>0</v>
      </c>
      <c r="D585" s="20">
        <v>8.52</v>
      </c>
      <c r="E585" s="36">
        <v>11</v>
      </c>
      <c r="H585" t="str">
        <f>TRIM(Таблиця1[[#This Row],[Абонент]])</f>
        <v>77010000268</v>
      </c>
      <c r="J585">
        <f t="shared" si="9"/>
        <v>77010000268</v>
      </c>
    </row>
    <row r="586" spans="1:10" x14ac:dyDescent="0.3">
      <c r="A586" s="42">
        <v>77010000279</v>
      </c>
      <c r="B586" s="20">
        <v>6</v>
      </c>
      <c r="C586" s="21" t="s">
        <v>0</v>
      </c>
      <c r="D586" s="20">
        <v>8.52</v>
      </c>
      <c r="E586" s="36">
        <v>11</v>
      </c>
      <c r="H586" t="str">
        <f>TRIM(Таблиця1[[#This Row],[Абонент]])</f>
        <v>77010000279</v>
      </c>
      <c r="J586">
        <f t="shared" si="9"/>
        <v>77010000279</v>
      </c>
    </row>
    <row r="587" spans="1:10" x14ac:dyDescent="0.3">
      <c r="A587" s="42">
        <v>77010000309</v>
      </c>
      <c r="B587" s="20">
        <v>6</v>
      </c>
      <c r="C587" s="21" t="s">
        <v>0</v>
      </c>
      <c r="D587" s="20">
        <v>8.52</v>
      </c>
      <c r="E587" s="36">
        <v>11</v>
      </c>
      <c r="H587" t="str">
        <f>TRIM(Таблиця1[[#This Row],[Абонент]])</f>
        <v>77010000309</v>
      </c>
      <c r="J587">
        <f t="shared" si="9"/>
        <v>77010000309</v>
      </c>
    </row>
    <row r="588" spans="1:10" x14ac:dyDescent="0.3">
      <c r="A588" s="42">
        <v>77010000245</v>
      </c>
      <c r="B588" s="20">
        <v>6</v>
      </c>
      <c r="C588" s="21" t="s">
        <v>0</v>
      </c>
      <c r="D588" s="20">
        <v>8.52</v>
      </c>
      <c r="E588" s="36">
        <v>11</v>
      </c>
      <c r="H588" t="str">
        <f>TRIM(Таблиця1[[#This Row],[Абонент]])</f>
        <v>77010000245</v>
      </c>
      <c r="J588">
        <f t="shared" si="9"/>
        <v>77010000245</v>
      </c>
    </row>
    <row r="589" spans="1:10" x14ac:dyDescent="0.3">
      <c r="A589" s="42">
        <v>77010000253</v>
      </c>
      <c r="B589" s="20">
        <v>6</v>
      </c>
      <c r="C589" s="21" t="s">
        <v>1</v>
      </c>
      <c r="D589" s="20">
        <v>14.87</v>
      </c>
      <c r="E589" s="36">
        <v>12</v>
      </c>
      <c r="H589" t="str">
        <f>TRIM(Таблиця1[[#This Row],[Абонент]])</f>
        <v>77010000253</v>
      </c>
      <c r="J589" t="str">
        <f t="shared" si="9"/>
        <v/>
      </c>
    </row>
    <row r="590" spans="1:10" x14ac:dyDescent="0.3">
      <c r="A590" s="42">
        <v>77010000259</v>
      </c>
      <c r="B590" s="20">
        <v>6</v>
      </c>
      <c r="C590" s="21" t="s">
        <v>0</v>
      </c>
      <c r="D590" s="20">
        <v>8.52</v>
      </c>
      <c r="E590" s="36">
        <v>12</v>
      </c>
      <c r="H590" t="str">
        <f>TRIM(Таблиця1[[#This Row],[Абонент]])</f>
        <v>77010000259</v>
      </c>
      <c r="J590">
        <f t="shared" si="9"/>
        <v>77010000259</v>
      </c>
    </row>
    <row r="591" spans="1:10" x14ac:dyDescent="0.3">
      <c r="A591" s="42">
        <v>77010000275</v>
      </c>
      <c r="B591" s="20">
        <v>6</v>
      </c>
      <c r="C591" s="21" t="s">
        <v>0</v>
      </c>
      <c r="D591" s="20">
        <v>8.52</v>
      </c>
      <c r="E591" s="36">
        <v>12</v>
      </c>
      <c r="H591" t="str">
        <f>TRIM(Таблиця1[[#This Row],[Абонент]])</f>
        <v>77010000275</v>
      </c>
      <c r="J591">
        <f t="shared" si="9"/>
        <v>77010000275</v>
      </c>
    </row>
    <row r="592" spans="1:10" x14ac:dyDescent="0.3">
      <c r="A592" s="42">
        <v>77010000276</v>
      </c>
      <c r="B592" s="20">
        <v>6</v>
      </c>
      <c r="C592" s="21" t="s">
        <v>0</v>
      </c>
      <c r="D592" s="20">
        <v>8.52</v>
      </c>
      <c r="E592" s="36">
        <v>12</v>
      </c>
      <c r="H592" t="str">
        <f>TRIM(Таблиця1[[#This Row],[Абонент]])</f>
        <v>77010000276</v>
      </c>
      <c r="J592">
        <f t="shared" si="9"/>
        <v>77010000276</v>
      </c>
    </row>
    <row r="593" spans="1:10" x14ac:dyDescent="0.3">
      <c r="A593" s="42">
        <v>77010000280</v>
      </c>
      <c r="B593" s="20">
        <v>6</v>
      </c>
      <c r="C593" s="21" t="s">
        <v>0</v>
      </c>
      <c r="D593" s="20">
        <v>8.52</v>
      </c>
      <c r="E593" s="36">
        <v>12</v>
      </c>
      <c r="H593" t="str">
        <f>TRIM(Таблиця1[[#This Row],[Абонент]])</f>
        <v>77010000280</v>
      </c>
      <c r="J593">
        <f t="shared" si="9"/>
        <v>77010000280</v>
      </c>
    </row>
    <row r="594" spans="1:10" x14ac:dyDescent="0.3">
      <c r="A594" s="42">
        <v>77010000296</v>
      </c>
      <c r="B594" s="20">
        <v>6</v>
      </c>
      <c r="C594" s="21" t="s">
        <v>0</v>
      </c>
      <c r="D594" s="20">
        <v>8.52</v>
      </c>
      <c r="E594" s="36">
        <v>12</v>
      </c>
      <c r="H594" t="str">
        <f>TRIM(Таблиця1[[#This Row],[Абонент]])</f>
        <v>77010000296</v>
      </c>
      <c r="J594">
        <f t="shared" si="9"/>
        <v>77010000296</v>
      </c>
    </row>
    <row r="595" spans="1:10" x14ac:dyDescent="0.3">
      <c r="A595" s="42">
        <v>77010000311</v>
      </c>
      <c r="B595" s="20">
        <v>6</v>
      </c>
      <c r="C595" s="21" t="s">
        <v>0</v>
      </c>
      <c r="D595" s="20">
        <v>8.52</v>
      </c>
      <c r="E595" s="36">
        <v>12</v>
      </c>
      <c r="H595" t="str">
        <f>TRIM(Таблиця1[[#This Row],[Абонент]])</f>
        <v>77010000311</v>
      </c>
      <c r="J595">
        <f t="shared" si="9"/>
        <v>77010000311</v>
      </c>
    </row>
    <row r="596" spans="1:10" x14ac:dyDescent="0.3">
      <c r="A596" s="42">
        <v>77010000291</v>
      </c>
      <c r="B596" s="20">
        <v>6</v>
      </c>
      <c r="C596" s="21" t="s">
        <v>0</v>
      </c>
      <c r="D596" s="20">
        <v>8.52</v>
      </c>
      <c r="E596" s="36">
        <v>12</v>
      </c>
      <c r="H596" t="str">
        <f>TRIM(Таблиця1[[#This Row],[Абонент]])</f>
        <v>77010000291</v>
      </c>
      <c r="J596">
        <f t="shared" si="9"/>
        <v>77010000291</v>
      </c>
    </row>
    <row r="597" spans="1:10" x14ac:dyDescent="0.3">
      <c r="A597" s="42">
        <v>77010000308</v>
      </c>
      <c r="B597" s="20">
        <v>6</v>
      </c>
      <c r="C597" s="21" t="s">
        <v>0</v>
      </c>
      <c r="D597" s="20">
        <v>8.52</v>
      </c>
      <c r="E597" s="36">
        <v>12</v>
      </c>
      <c r="H597" t="str">
        <f>TRIM(Таблиця1[[#This Row],[Абонент]])</f>
        <v>77010000308</v>
      </c>
      <c r="J597">
        <f t="shared" si="9"/>
        <v>77010000308</v>
      </c>
    </row>
    <row r="598" spans="1:10" x14ac:dyDescent="0.3">
      <c r="A598" s="42">
        <v>77010000272</v>
      </c>
      <c r="B598" s="20">
        <v>6</v>
      </c>
      <c r="C598" s="21" t="s">
        <v>0</v>
      </c>
      <c r="D598" s="20">
        <v>8.52</v>
      </c>
      <c r="E598" s="36">
        <v>13</v>
      </c>
      <c r="H598" t="str">
        <f>TRIM(Таблиця1[[#This Row],[Абонент]])</f>
        <v>77010000272</v>
      </c>
      <c r="J598">
        <f t="shared" si="9"/>
        <v>77010000272</v>
      </c>
    </row>
    <row r="599" spans="1:10" x14ac:dyDescent="0.3">
      <c r="A599" s="42">
        <v>77010000278</v>
      </c>
      <c r="B599" s="20">
        <v>6</v>
      </c>
      <c r="C599" s="21" t="s">
        <v>0</v>
      </c>
      <c r="D599" s="20">
        <v>8.52</v>
      </c>
      <c r="E599" s="36">
        <v>13</v>
      </c>
      <c r="H599" t="str">
        <f>TRIM(Таблиця1[[#This Row],[Абонент]])</f>
        <v>77010000278</v>
      </c>
      <c r="J599">
        <f t="shared" si="9"/>
        <v>77010000278</v>
      </c>
    </row>
    <row r="600" spans="1:10" x14ac:dyDescent="0.3">
      <c r="A600" s="42">
        <v>77010000256</v>
      </c>
      <c r="B600" s="20">
        <v>6</v>
      </c>
      <c r="C600" s="21" t="s">
        <v>0</v>
      </c>
      <c r="D600" s="20">
        <v>8.52</v>
      </c>
      <c r="E600" s="36">
        <v>13</v>
      </c>
      <c r="H600" t="str">
        <f>TRIM(Таблиця1[[#This Row],[Абонент]])</f>
        <v>77010000256</v>
      </c>
      <c r="J600">
        <f t="shared" si="9"/>
        <v>77010000256</v>
      </c>
    </row>
    <row r="601" spans="1:10" x14ac:dyDescent="0.3">
      <c r="A601" s="42">
        <v>77010000292</v>
      </c>
      <c r="B601" s="20">
        <v>6</v>
      </c>
      <c r="C601" s="21" t="s">
        <v>0</v>
      </c>
      <c r="D601" s="20">
        <v>8.52</v>
      </c>
      <c r="E601" s="36">
        <v>13</v>
      </c>
      <c r="H601" t="str">
        <f>TRIM(Таблиця1[[#This Row],[Абонент]])</f>
        <v>77010000292</v>
      </c>
      <c r="J601">
        <f t="shared" si="9"/>
        <v>77010000292</v>
      </c>
    </row>
    <row r="602" spans="1:10" x14ac:dyDescent="0.3">
      <c r="A602" s="42">
        <v>77010000249</v>
      </c>
      <c r="B602" s="20">
        <v>6</v>
      </c>
      <c r="C602" s="21" t="s">
        <v>3</v>
      </c>
      <c r="D602" s="20">
        <v>24.5</v>
      </c>
      <c r="E602" s="36">
        <v>13</v>
      </c>
      <c r="H602" t="str">
        <f>TRIM(Таблиця1[[#This Row],[Абонент]])</f>
        <v>77010000249</v>
      </c>
      <c r="J602" t="str">
        <f t="shared" si="9"/>
        <v/>
      </c>
    </row>
    <row r="603" spans="1:10" x14ac:dyDescent="0.3">
      <c r="A603" s="42">
        <v>77010000254</v>
      </c>
      <c r="B603" s="20">
        <v>6</v>
      </c>
      <c r="C603" s="21" t="s">
        <v>0</v>
      </c>
      <c r="D603" s="20">
        <v>8.52</v>
      </c>
      <c r="E603" s="36">
        <v>14</v>
      </c>
      <c r="H603" t="str">
        <f>TRIM(Таблиця1[[#This Row],[Абонент]])</f>
        <v>77010000254</v>
      </c>
      <c r="J603">
        <f t="shared" si="9"/>
        <v>77010000254</v>
      </c>
    </row>
    <row r="604" spans="1:10" x14ac:dyDescent="0.3">
      <c r="A604" s="42">
        <v>77010000277</v>
      </c>
      <c r="B604" s="20">
        <v>6</v>
      </c>
      <c r="C604" s="21" t="s">
        <v>0</v>
      </c>
      <c r="D604" s="20">
        <v>8.52</v>
      </c>
      <c r="E604" s="36">
        <v>14</v>
      </c>
      <c r="H604" t="str">
        <f>TRIM(Таблиця1[[#This Row],[Абонент]])</f>
        <v>77010000277</v>
      </c>
      <c r="J604">
        <f t="shared" si="9"/>
        <v>77010000277</v>
      </c>
    </row>
    <row r="605" spans="1:10" x14ac:dyDescent="0.3">
      <c r="A605" s="42">
        <v>77010000286</v>
      </c>
      <c r="B605" s="20">
        <v>6</v>
      </c>
      <c r="C605" s="21" t="s">
        <v>0</v>
      </c>
      <c r="D605" s="20">
        <v>8.52</v>
      </c>
      <c r="E605" s="36">
        <v>14</v>
      </c>
      <c r="H605" t="str">
        <f>TRIM(Таблиця1[[#This Row],[Абонент]])</f>
        <v>77010000286</v>
      </c>
      <c r="J605">
        <f t="shared" si="9"/>
        <v>77010000286</v>
      </c>
    </row>
    <row r="606" spans="1:10" x14ac:dyDescent="0.3">
      <c r="A606" s="42">
        <v>77010000257</v>
      </c>
      <c r="B606" s="20">
        <v>6</v>
      </c>
      <c r="C606" s="21" t="s">
        <v>0</v>
      </c>
      <c r="D606" s="20">
        <v>8.52</v>
      </c>
      <c r="E606" s="36">
        <v>14</v>
      </c>
      <c r="H606" t="str">
        <f>TRIM(Таблиця1[[#This Row],[Абонент]])</f>
        <v>77010000257</v>
      </c>
      <c r="J606">
        <f t="shared" si="9"/>
        <v>77010000257</v>
      </c>
    </row>
    <row r="607" spans="1:10" x14ac:dyDescent="0.3">
      <c r="A607" s="42">
        <v>77010000280</v>
      </c>
      <c r="B607" s="20">
        <v>6</v>
      </c>
      <c r="C607" s="21" t="s">
        <v>0</v>
      </c>
      <c r="D607" s="20">
        <v>8.52</v>
      </c>
      <c r="E607" s="36">
        <v>14</v>
      </c>
      <c r="H607" t="str">
        <f>TRIM(Таблиця1[[#This Row],[Абонент]])</f>
        <v>77010000280</v>
      </c>
      <c r="J607">
        <f t="shared" si="9"/>
        <v>77010000280</v>
      </c>
    </row>
    <row r="608" spans="1:10" x14ac:dyDescent="0.3">
      <c r="A608" s="42">
        <v>77010000255</v>
      </c>
      <c r="B608" s="20">
        <v>6</v>
      </c>
      <c r="C608" s="21" t="s">
        <v>0</v>
      </c>
      <c r="D608" s="20">
        <v>8.52</v>
      </c>
      <c r="E608" s="36">
        <v>15</v>
      </c>
      <c r="H608" t="str">
        <f>TRIM(Таблиця1[[#This Row],[Абонент]])</f>
        <v>77010000255</v>
      </c>
      <c r="J608">
        <f t="shared" si="9"/>
        <v>77010000255</v>
      </c>
    </row>
    <row r="609" spans="1:10" x14ac:dyDescent="0.3">
      <c r="A609" s="42">
        <v>77010000284</v>
      </c>
      <c r="B609" s="20">
        <v>6</v>
      </c>
      <c r="C609" s="21" t="s">
        <v>0</v>
      </c>
      <c r="D609" s="20">
        <v>8.52</v>
      </c>
      <c r="E609" s="36">
        <v>15</v>
      </c>
      <c r="H609" t="str">
        <f>TRIM(Таблиця1[[#This Row],[Абонент]])</f>
        <v>77010000284</v>
      </c>
      <c r="J609">
        <f t="shared" si="9"/>
        <v>77010000284</v>
      </c>
    </row>
    <row r="610" spans="1:10" x14ac:dyDescent="0.3">
      <c r="A610" s="42">
        <v>77010000297</v>
      </c>
      <c r="B610" s="20">
        <v>6</v>
      </c>
      <c r="C610" s="21" t="s">
        <v>0</v>
      </c>
      <c r="D610" s="20">
        <v>8.52</v>
      </c>
      <c r="E610" s="36">
        <v>15</v>
      </c>
      <c r="H610" t="str">
        <f>TRIM(Таблиця1[[#This Row],[Абонент]])</f>
        <v>77010000297</v>
      </c>
      <c r="J610">
        <f t="shared" si="9"/>
        <v>77010000297</v>
      </c>
    </row>
    <row r="611" spans="1:10" x14ac:dyDescent="0.3">
      <c r="A611" s="42">
        <v>77010000313</v>
      </c>
      <c r="B611" s="20">
        <v>6</v>
      </c>
      <c r="C611" s="21" t="s">
        <v>0</v>
      </c>
      <c r="D611" s="20">
        <v>8.52</v>
      </c>
      <c r="E611" s="36">
        <v>16</v>
      </c>
      <c r="H611" t="str">
        <f>TRIM(Таблиця1[[#This Row],[Абонент]])</f>
        <v>77010000313</v>
      </c>
      <c r="J611">
        <f t="shared" si="9"/>
        <v>77010000313</v>
      </c>
    </row>
    <row r="612" spans="1:10" x14ac:dyDescent="0.3">
      <c r="A612" s="42">
        <v>77010000274</v>
      </c>
      <c r="B612" s="20">
        <v>6</v>
      </c>
      <c r="C612" s="21" t="s">
        <v>0</v>
      </c>
      <c r="D612" s="20">
        <v>8.52</v>
      </c>
      <c r="E612" s="36">
        <v>16</v>
      </c>
      <c r="H612" t="str">
        <f>TRIM(Таблиця1[[#This Row],[Абонент]])</f>
        <v>77010000274</v>
      </c>
      <c r="J612">
        <f t="shared" si="9"/>
        <v>77010000274</v>
      </c>
    </row>
    <row r="613" spans="1:10" x14ac:dyDescent="0.3">
      <c r="A613" s="42">
        <v>77010000260</v>
      </c>
      <c r="B613" s="20">
        <v>6</v>
      </c>
      <c r="C613" s="21" t="s">
        <v>0</v>
      </c>
      <c r="D613" s="20">
        <v>8.52</v>
      </c>
      <c r="E613" s="36">
        <v>16</v>
      </c>
      <c r="H613" t="str">
        <f>TRIM(Таблиця1[[#This Row],[Абонент]])</f>
        <v>77010000260</v>
      </c>
      <c r="J613">
        <f t="shared" si="9"/>
        <v>77010000260</v>
      </c>
    </row>
    <row r="614" spans="1:10" x14ac:dyDescent="0.3">
      <c r="A614" s="42">
        <v>77010000292</v>
      </c>
      <c r="B614" s="20">
        <v>6</v>
      </c>
      <c r="C614" s="21" t="s">
        <v>0</v>
      </c>
      <c r="D614" s="20">
        <v>8.52</v>
      </c>
      <c r="E614" s="36">
        <v>16</v>
      </c>
      <c r="H614" t="str">
        <f>TRIM(Таблиця1[[#This Row],[Абонент]])</f>
        <v>77010000292</v>
      </c>
      <c r="J614">
        <f t="shared" si="9"/>
        <v>77010000292</v>
      </c>
    </row>
    <row r="615" spans="1:10" x14ac:dyDescent="0.3">
      <c r="A615" s="42">
        <v>77010000258</v>
      </c>
      <c r="B615" s="20">
        <v>6</v>
      </c>
      <c r="C615" s="21" t="s">
        <v>0</v>
      </c>
      <c r="D615" s="20">
        <v>8.52</v>
      </c>
      <c r="E615" s="36">
        <v>18</v>
      </c>
      <c r="H615" t="str">
        <f>TRIM(Таблиця1[[#This Row],[Абонент]])</f>
        <v>77010000258</v>
      </c>
      <c r="J615">
        <f t="shared" si="9"/>
        <v>77010000258</v>
      </c>
    </row>
    <row r="616" spans="1:10" x14ac:dyDescent="0.3">
      <c r="A616" s="42">
        <v>77010000307</v>
      </c>
      <c r="B616" s="20">
        <v>6</v>
      </c>
      <c r="C616" s="21" t="s">
        <v>0</v>
      </c>
      <c r="D616" s="20">
        <v>8.52</v>
      </c>
      <c r="E616" s="36">
        <v>18</v>
      </c>
      <c r="H616" t="str">
        <f>TRIM(Таблиця1[[#This Row],[Абонент]])</f>
        <v>77010000307</v>
      </c>
      <c r="J616">
        <f t="shared" si="9"/>
        <v>77010000307</v>
      </c>
    </row>
    <row r="617" spans="1:10" x14ac:dyDescent="0.3">
      <c r="A617" s="42">
        <v>77010000272</v>
      </c>
      <c r="B617" s="20">
        <v>6</v>
      </c>
      <c r="C617" s="21" t="s">
        <v>0</v>
      </c>
      <c r="D617" s="20">
        <v>8.52</v>
      </c>
      <c r="E617" s="36">
        <v>19</v>
      </c>
      <c r="H617" t="str">
        <f>TRIM(Таблиця1[[#This Row],[Абонент]])</f>
        <v>77010000272</v>
      </c>
      <c r="J617">
        <f t="shared" si="9"/>
        <v>77010000272</v>
      </c>
    </row>
    <row r="618" spans="1:10" x14ac:dyDescent="0.3">
      <c r="A618" s="42">
        <v>77010000269</v>
      </c>
      <c r="B618" s="20">
        <v>6</v>
      </c>
      <c r="C618" s="21" t="s">
        <v>0</v>
      </c>
      <c r="D618" s="20">
        <v>12.79</v>
      </c>
      <c r="E618" s="36">
        <v>21</v>
      </c>
      <c r="H618" t="str">
        <f>TRIM(Таблиця1[[#This Row],[Абонент]])</f>
        <v>77010000269</v>
      </c>
      <c r="J618">
        <f t="shared" si="9"/>
        <v>77010000269</v>
      </c>
    </row>
    <row r="619" spans="1:10" x14ac:dyDescent="0.3">
      <c r="A619" s="42">
        <v>77010000283</v>
      </c>
      <c r="B619" s="20">
        <v>6</v>
      </c>
      <c r="C619" s="21" t="s">
        <v>0</v>
      </c>
      <c r="D619" s="20">
        <v>12.79</v>
      </c>
      <c r="E619" s="36">
        <v>22</v>
      </c>
      <c r="H619" t="str">
        <f>TRIM(Таблиця1[[#This Row],[Абонент]])</f>
        <v>77010000283</v>
      </c>
      <c r="J619">
        <f t="shared" si="9"/>
        <v>77010000283</v>
      </c>
    </row>
    <row r="620" spans="1:10" x14ac:dyDescent="0.3">
      <c r="A620" s="42">
        <v>77010000246</v>
      </c>
      <c r="B620" s="20">
        <v>6</v>
      </c>
      <c r="C620" s="21" t="s">
        <v>0</v>
      </c>
      <c r="D620" s="20">
        <v>12.79</v>
      </c>
      <c r="E620" s="36">
        <v>22</v>
      </c>
      <c r="H620" t="str">
        <f>TRIM(Таблиця1[[#This Row],[Абонент]])</f>
        <v>77010000246</v>
      </c>
      <c r="J620">
        <f t="shared" si="9"/>
        <v>77010000246</v>
      </c>
    </row>
    <row r="621" spans="1:10" x14ac:dyDescent="0.3">
      <c r="A621" s="42">
        <v>77010000247</v>
      </c>
      <c r="B621" s="20">
        <v>6</v>
      </c>
      <c r="C621" s="21" t="s">
        <v>0</v>
      </c>
      <c r="D621" s="20">
        <v>12.79</v>
      </c>
      <c r="E621" s="36">
        <v>22</v>
      </c>
      <c r="H621" t="str">
        <f>TRIM(Таблиця1[[#This Row],[Абонент]])</f>
        <v>77010000247</v>
      </c>
      <c r="J621">
        <f t="shared" si="9"/>
        <v>77010000247</v>
      </c>
    </row>
    <row r="622" spans="1:10" x14ac:dyDescent="0.3">
      <c r="A622" s="42">
        <v>77010000278</v>
      </c>
      <c r="B622" s="20">
        <v>6</v>
      </c>
      <c r="C622" s="21" t="s">
        <v>0</v>
      </c>
      <c r="D622" s="20">
        <v>12.79</v>
      </c>
      <c r="E622" s="36">
        <v>22</v>
      </c>
      <c r="H622" t="str">
        <f>TRIM(Таблиця1[[#This Row],[Абонент]])</f>
        <v>77010000278</v>
      </c>
      <c r="J622">
        <f t="shared" si="9"/>
        <v>77010000278</v>
      </c>
    </row>
    <row r="623" spans="1:10" x14ac:dyDescent="0.3">
      <c r="A623" s="42">
        <v>77010000291</v>
      </c>
      <c r="B623" s="20">
        <v>6</v>
      </c>
      <c r="C623" s="21" t="s">
        <v>0</v>
      </c>
      <c r="D623" s="20">
        <v>12.79</v>
      </c>
      <c r="E623" s="36">
        <v>23</v>
      </c>
      <c r="H623" t="str">
        <f>TRIM(Таблиця1[[#This Row],[Абонент]])</f>
        <v>77010000291</v>
      </c>
      <c r="J623">
        <f t="shared" si="9"/>
        <v>77010000291</v>
      </c>
    </row>
    <row r="624" spans="1:10" x14ac:dyDescent="0.3">
      <c r="A624" s="42">
        <v>77010000246</v>
      </c>
      <c r="B624" s="20">
        <v>6</v>
      </c>
      <c r="C624" s="21" t="s">
        <v>1</v>
      </c>
      <c r="D624" s="20">
        <v>22.3</v>
      </c>
      <c r="E624" s="36">
        <v>24</v>
      </c>
      <c r="H624" t="str">
        <f>TRIM(Таблиця1[[#This Row],[Абонент]])</f>
        <v>77010000246</v>
      </c>
      <c r="J624" t="str">
        <f t="shared" si="9"/>
        <v/>
      </c>
    </row>
  </sheetData>
  <sheetProtection pivotTables="0"/>
  <phoneticPr fontId="5" type="noConversion"/>
  <conditionalFormatting sqref="G380">
    <cfRule type="expression" dxfId="0" priority="1" stopIfTrue="1">
      <formula>I379="Неправильный ответ"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44BE-2327-4865-A4D1-FE4960F7A641}">
  <dimension ref="A1:E626"/>
  <sheetViews>
    <sheetView workbookViewId="0">
      <selection activeCell="I4" sqref="I4"/>
    </sheetView>
  </sheetViews>
  <sheetFormatPr defaultRowHeight="14.4" x14ac:dyDescent="0.3"/>
  <cols>
    <col min="1" max="1" width="12" bestFit="1" customWidth="1"/>
    <col min="2" max="2" width="17.21875" bestFit="1" customWidth="1"/>
    <col min="3" max="3" width="21.6640625" bestFit="1" customWidth="1"/>
    <col min="4" max="4" width="19.44140625" bestFit="1" customWidth="1"/>
    <col min="5" max="5" width="39.77734375" bestFit="1" customWidth="1"/>
  </cols>
  <sheetData>
    <row r="1" spans="1:5" x14ac:dyDescent="0.3">
      <c r="A1" s="44" t="s">
        <v>17</v>
      </c>
    </row>
    <row r="3" spans="1:5" x14ac:dyDescent="0.3">
      <c r="A3" t="s">
        <v>9</v>
      </c>
      <c r="B3" t="s">
        <v>8</v>
      </c>
      <c r="C3" t="s">
        <v>7</v>
      </c>
      <c r="D3" t="s">
        <v>5</v>
      </c>
      <c r="E3" t="s">
        <v>6</v>
      </c>
    </row>
    <row r="4" spans="1:5" x14ac:dyDescent="0.3">
      <c r="A4">
        <v>77010000068</v>
      </c>
      <c r="B4">
        <v>1</v>
      </c>
      <c r="C4" t="s">
        <v>0</v>
      </c>
      <c r="D4">
        <v>0</v>
      </c>
      <c r="E4">
        <v>0</v>
      </c>
    </row>
    <row r="5" spans="1:5" x14ac:dyDescent="0.3">
      <c r="A5">
        <v>77010000001</v>
      </c>
      <c r="B5">
        <v>1</v>
      </c>
      <c r="C5" t="s">
        <v>0</v>
      </c>
      <c r="D5">
        <v>0.43</v>
      </c>
      <c r="E5">
        <v>1</v>
      </c>
    </row>
    <row r="6" spans="1:5" x14ac:dyDescent="0.3">
      <c r="A6">
        <v>77010000003</v>
      </c>
      <c r="B6">
        <v>1</v>
      </c>
      <c r="C6" t="s">
        <v>0</v>
      </c>
      <c r="D6">
        <v>0.43</v>
      </c>
      <c r="E6">
        <v>1</v>
      </c>
    </row>
    <row r="7" spans="1:5" x14ac:dyDescent="0.3">
      <c r="A7">
        <v>77010000004</v>
      </c>
      <c r="B7">
        <v>1</v>
      </c>
      <c r="C7" t="s">
        <v>0</v>
      </c>
      <c r="D7">
        <v>0.43</v>
      </c>
      <c r="E7">
        <v>1</v>
      </c>
    </row>
    <row r="8" spans="1:5" x14ac:dyDescent="0.3">
      <c r="A8">
        <v>77010000008</v>
      </c>
      <c r="B8">
        <v>1</v>
      </c>
      <c r="C8" t="s">
        <v>0</v>
      </c>
      <c r="D8">
        <v>0.43</v>
      </c>
      <c r="E8">
        <v>1</v>
      </c>
    </row>
    <row r="9" spans="1:5" x14ac:dyDescent="0.3">
      <c r="A9">
        <v>77010000052</v>
      </c>
      <c r="B9">
        <v>1</v>
      </c>
      <c r="C9" t="s">
        <v>0</v>
      </c>
      <c r="D9">
        <v>0.43</v>
      </c>
      <c r="E9">
        <v>1</v>
      </c>
    </row>
    <row r="10" spans="1:5" x14ac:dyDescent="0.3">
      <c r="A10">
        <v>77010000060</v>
      </c>
      <c r="B10">
        <v>1</v>
      </c>
      <c r="C10" t="s">
        <v>0</v>
      </c>
      <c r="D10">
        <v>0.43</v>
      </c>
      <c r="E10">
        <v>1</v>
      </c>
    </row>
    <row r="11" spans="1:5" x14ac:dyDescent="0.3">
      <c r="A11">
        <v>77010000046</v>
      </c>
      <c r="B11">
        <v>1</v>
      </c>
      <c r="C11" t="s">
        <v>0</v>
      </c>
      <c r="D11">
        <v>0.43</v>
      </c>
      <c r="E11">
        <v>1</v>
      </c>
    </row>
    <row r="12" spans="1:5" x14ac:dyDescent="0.3">
      <c r="A12">
        <v>77010000054</v>
      </c>
      <c r="B12">
        <v>1</v>
      </c>
      <c r="C12" t="s">
        <v>0</v>
      </c>
      <c r="D12">
        <v>0.43</v>
      </c>
      <c r="E12">
        <v>1</v>
      </c>
    </row>
    <row r="13" spans="1:5" x14ac:dyDescent="0.3">
      <c r="A13">
        <v>77010000062</v>
      </c>
      <c r="B13">
        <v>1</v>
      </c>
      <c r="C13" t="s">
        <v>0</v>
      </c>
      <c r="D13">
        <v>0.43</v>
      </c>
      <c r="E13">
        <v>1</v>
      </c>
    </row>
    <row r="14" spans="1:5" x14ac:dyDescent="0.3">
      <c r="A14">
        <v>77010000065</v>
      </c>
      <c r="B14">
        <v>1</v>
      </c>
      <c r="C14" t="s">
        <v>0</v>
      </c>
      <c r="D14">
        <v>0.43</v>
      </c>
      <c r="E14">
        <v>1</v>
      </c>
    </row>
    <row r="15" spans="1:5" x14ac:dyDescent="0.3">
      <c r="A15">
        <v>77010000066</v>
      </c>
      <c r="B15">
        <v>1</v>
      </c>
      <c r="C15" t="s">
        <v>0</v>
      </c>
      <c r="D15">
        <v>0.43</v>
      </c>
      <c r="E15">
        <v>1</v>
      </c>
    </row>
    <row r="16" spans="1:5" x14ac:dyDescent="0.3">
      <c r="A16">
        <v>77010000063</v>
      </c>
      <c r="B16">
        <v>1</v>
      </c>
      <c r="C16" t="s">
        <v>1</v>
      </c>
      <c r="D16">
        <v>7.43</v>
      </c>
      <c r="E16">
        <v>1</v>
      </c>
    </row>
    <row r="17" spans="1:5" x14ac:dyDescent="0.3">
      <c r="A17">
        <v>77010000066</v>
      </c>
      <c r="B17">
        <v>1</v>
      </c>
      <c r="C17" t="s">
        <v>0</v>
      </c>
      <c r="D17">
        <v>0.43</v>
      </c>
      <c r="E17">
        <v>1</v>
      </c>
    </row>
    <row r="18" spans="1:5" x14ac:dyDescent="0.3">
      <c r="A18">
        <v>77010000045</v>
      </c>
      <c r="B18">
        <v>1</v>
      </c>
      <c r="C18" t="s">
        <v>0</v>
      </c>
      <c r="D18">
        <v>0.43</v>
      </c>
      <c r="E18">
        <v>1</v>
      </c>
    </row>
    <row r="19" spans="1:5" x14ac:dyDescent="0.3">
      <c r="A19">
        <v>77010000082</v>
      </c>
      <c r="B19">
        <v>1</v>
      </c>
      <c r="C19" t="s">
        <v>0</v>
      </c>
      <c r="D19">
        <v>0.43</v>
      </c>
      <c r="E19">
        <v>1</v>
      </c>
    </row>
    <row r="20" spans="1:5" x14ac:dyDescent="0.3">
      <c r="A20">
        <v>77010000094</v>
      </c>
      <c r="B20">
        <v>1</v>
      </c>
      <c r="C20" t="s">
        <v>0</v>
      </c>
      <c r="D20">
        <v>0.43</v>
      </c>
      <c r="E20">
        <v>1</v>
      </c>
    </row>
    <row r="21" spans="1:5" x14ac:dyDescent="0.3">
      <c r="A21">
        <v>77010000003</v>
      </c>
      <c r="B21">
        <v>1</v>
      </c>
      <c r="C21" t="s">
        <v>0</v>
      </c>
      <c r="D21">
        <v>0.43</v>
      </c>
      <c r="E21">
        <v>1</v>
      </c>
    </row>
    <row r="22" spans="1:5" x14ac:dyDescent="0.3">
      <c r="A22">
        <v>77010000042</v>
      </c>
      <c r="B22">
        <v>1</v>
      </c>
      <c r="C22" t="s">
        <v>2</v>
      </c>
      <c r="D22">
        <v>7.43</v>
      </c>
      <c r="E22">
        <v>1</v>
      </c>
    </row>
    <row r="23" spans="1:5" x14ac:dyDescent="0.3">
      <c r="A23">
        <v>77010000008</v>
      </c>
      <c r="B23">
        <v>1</v>
      </c>
      <c r="C23" t="s">
        <v>0</v>
      </c>
      <c r="D23">
        <v>0.43</v>
      </c>
      <c r="E23">
        <v>1</v>
      </c>
    </row>
    <row r="24" spans="1:5" x14ac:dyDescent="0.3">
      <c r="A24">
        <v>77010000014</v>
      </c>
      <c r="B24">
        <v>1</v>
      </c>
      <c r="C24" t="s">
        <v>0</v>
      </c>
      <c r="D24">
        <v>0.43</v>
      </c>
      <c r="E24">
        <v>1</v>
      </c>
    </row>
    <row r="25" spans="1:5" x14ac:dyDescent="0.3">
      <c r="A25">
        <v>77010000017</v>
      </c>
      <c r="B25">
        <v>1</v>
      </c>
      <c r="C25" t="s">
        <v>0</v>
      </c>
      <c r="D25">
        <v>0.43</v>
      </c>
      <c r="E25">
        <v>1</v>
      </c>
    </row>
    <row r="26" spans="1:5" x14ac:dyDescent="0.3">
      <c r="A26">
        <v>77010000040</v>
      </c>
      <c r="B26">
        <v>1</v>
      </c>
      <c r="C26" t="s">
        <v>0</v>
      </c>
      <c r="D26">
        <v>0.43</v>
      </c>
      <c r="E26">
        <v>1</v>
      </c>
    </row>
    <row r="27" spans="1:5" x14ac:dyDescent="0.3">
      <c r="A27">
        <v>77010000056</v>
      </c>
      <c r="B27">
        <v>1</v>
      </c>
      <c r="C27" t="s">
        <v>0</v>
      </c>
      <c r="D27">
        <v>0.43</v>
      </c>
      <c r="E27">
        <v>1</v>
      </c>
    </row>
    <row r="28" spans="1:5" x14ac:dyDescent="0.3">
      <c r="A28">
        <v>77010000061</v>
      </c>
      <c r="B28">
        <v>1</v>
      </c>
      <c r="C28" t="s">
        <v>0</v>
      </c>
      <c r="D28">
        <v>0.43</v>
      </c>
      <c r="E28">
        <v>1</v>
      </c>
    </row>
    <row r="29" spans="1:5" x14ac:dyDescent="0.3">
      <c r="A29">
        <v>77010000078</v>
      </c>
      <c r="B29">
        <v>1</v>
      </c>
      <c r="C29" t="s">
        <v>0</v>
      </c>
      <c r="D29">
        <v>0.43</v>
      </c>
      <c r="E29">
        <v>1</v>
      </c>
    </row>
    <row r="30" spans="1:5" x14ac:dyDescent="0.3">
      <c r="A30">
        <v>77010000005</v>
      </c>
      <c r="B30">
        <v>1</v>
      </c>
      <c r="C30" t="s">
        <v>0</v>
      </c>
      <c r="D30">
        <v>0.85</v>
      </c>
      <c r="E30">
        <v>2</v>
      </c>
    </row>
    <row r="31" spans="1:5" x14ac:dyDescent="0.3">
      <c r="A31">
        <v>77010000006</v>
      </c>
      <c r="B31">
        <v>1</v>
      </c>
      <c r="C31" t="s">
        <v>0</v>
      </c>
      <c r="D31">
        <v>0.85</v>
      </c>
      <c r="E31">
        <v>2</v>
      </c>
    </row>
    <row r="32" spans="1:5" x14ac:dyDescent="0.3">
      <c r="A32">
        <v>77010000051</v>
      </c>
      <c r="B32">
        <v>1</v>
      </c>
      <c r="C32" t="s">
        <v>1</v>
      </c>
      <c r="D32">
        <v>7.43</v>
      </c>
      <c r="E32">
        <v>2</v>
      </c>
    </row>
    <row r="33" spans="1:5" x14ac:dyDescent="0.3">
      <c r="A33">
        <v>77010000058</v>
      </c>
      <c r="B33">
        <v>1</v>
      </c>
      <c r="C33" t="s">
        <v>0</v>
      </c>
      <c r="D33">
        <v>0.85</v>
      </c>
      <c r="E33">
        <v>2</v>
      </c>
    </row>
    <row r="34" spans="1:5" x14ac:dyDescent="0.3">
      <c r="A34">
        <v>77010000070</v>
      </c>
      <c r="B34">
        <v>1</v>
      </c>
      <c r="C34" t="s">
        <v>0</v>
      </c>
      <c r="D34">
        <v>0.85</v>
      </c>
      <c r="E34">
        <v>2</v>
      </c>
    </row>
    <row r="35" spans="1:5" x14ac:dyDescent="0.3">
      <c r="A35">
        <v>77010000058</v>
      </c>
      <c r="B35">
        <v>1</v>
      </c>
      <c r="C35" t="s">
        <v>0</v>
      </c>
      <c r="D35">
        <v>0.85</v>
      </c>
      <c r="E35">
        <v>2</v>
      </c>
    </row>
    <row r="36" spans="1:5" x14ac:dyDescent="0.3">
      <c r="A36">
        <v>77010000064</v>
      </c>
      <c r="B36">
        <v>1</v>
      </c>
      <c r="C36" t="s">
        <v>0</v>
      </c>
      <c r="D36">
        <v>0.85</v>
      </c>
      <c r="E36">
        <v>2</v>
      </c>
    </row>
    <row r="37" spans="1:5" x14ac:dyDescent="0.3">
      <c r="A37">
        <v>77010000065</v>
      </c>
      <c r="B37">
        <v>1</v>
      </c>
      <c r="C37" t="s">
        <v>0</v>
      </c>
      <c r="D37">
        <v>0.85</v>
      </c>
      <c r="E37">
        <v>2</v>
      </c>
    </row>
    <row r="38" spans="1:5" x14ac:dyDescent="0.3">
      <c r="A38">
        <v>77010000037</v>
      </c>
      <c r="B38">
        <v>1</v>
      </c>
      <c r="C38" t="s">
        <v>2</v>
      </c>
      <c r="D38">
        <v>7.43</v>
      </c>
      <c r="E38">
        <v>2</v>
      </c>
    </row>
    <row r="39" spans="1:5" x14ac:dyDescent="0.3">
      <c r="A39">
        <v>77010000078</v>
      </c>
      <c r="B39">
        <v>1</v>
      </c>
      <c r="C39" t="s">
        <v>0</v>
      </c>
      <c r="D39">
        <v>0.85</v>
      </c>
      <c r="E39">
        <v>2</v>
      </c>
    </row>
    <row r="40" spans="1:5" x14ac:dyDescent="0.3">
      <c r="A40">
        <v>77010000086</v>
      </c>
      <c r="B40">
        <v>1</v>
      </c>
      <c r="C40" t="s">
        <v>0</v>
      </c>
      <c r="D40">
        <v>0.85</v>
      </c>
      <c r="E40">
        <v>2</v>
      </c>
    </row>
    <row r="41" spans="1:5" x14ac:dyDescent="0.3">
      <c r="A41">
        <v>77010000092</v>
      </c>
      <c r="B41">
        <v>1</v>
      </c>
      <c r="C41" t="s">
        <v>0</v>
      </c>
      <c r="D41">
        <v>0.85</v>
      </c>
      <c r="E41">
        <v>2</v>
      </c>
    </row>
    <row r="42" spans="1:5" x14ac:dyDescent="0.3">
      <c r="A42">
        <v>77010000095</v>
      </c>
      <c r="B42">
        <v>1</v>
      </c>
      <c r="C42" t="s">
        <v>0</v>
      </c>
      <c r="D42">
        <v>0.85</v>
      </c>
      <c r="E42">
        <v>2</v>
      </c>
    </row>
    <row r="43" spans="1:5" x14ac:dyDescent="0.3">
      <c r="A43">
        <v>77010000001</v>
      </c>
      <c r="B43">
        <v>1</v>
      </c>
      <c r="C43" t="s">
        <v>0</v>
      </c>
      <c r="D43">
        <v>0.85</v>
      </c>
      <c r="E43">
        <v>2</v>
      </c>
    </row>
    <row r="44" spans="1:5" x14ac:dyDescent="0.3">
      <c r="A44">
        <v>77010000009</v>
      </c>
      <c r="B44">
        <v>1</v>
      </c>
      <c r="C44" t="s">
        <v>0</v>
      </c>
      <c r="D44">
        <v>0.85</v>
      </c>
      <c r="E44">
        <v>2</v>
      </c>
    </row>
    <row r="45" spans="1:5" x14ac:dyDescent="0.3">
      <c r="A45">
        <v>77010000010</v>
      </c>
      <c r="B45">
        <v>1</v>
      </c>
      <c r="C45" t="s">
        <v>0</v>
      </c>
      <c r="D45">
        <v>0.85</v>
      </c>
      <c r="E45">
        <v>2</v>
      </c>
    </row>
    <row r="46" spans="1:5" x14ac:dyDescent="0.3">
      <c r="A46">
        <v>77010000016</v>
      </c>
      <c r="B46">
        <v>1</v>
      </c>
      <c r="C46" t="s">
        <v>0</v>
      </c>
      <c r="D46">
        <v>0.85</v>
      </c>
      <c r="E46">
        <v>2</v>
      </c>
    </row>
    <row r="47" spans="1:5" x14ac:dyDescent="0.3">
      <c r="A47">
        <v>77010000081</v>
      </c>
      <c r="B47">
        <v>1</v>
      </c>
      <c r="C47" t="s">
        <v>0</v>
      </c>
      <c r="D47">
        <v>0.85</v>
      </c>
      <c r="E47">
        <v>2</v>
      </c>
    </row>
    <row r="48" spans="1:5" x14ac:dyDescent="0.3">
      <c r="A48">
        <v>77010000067</v>
      </c>
      <c r="B48">
        <v>1</v>
      </c>
      <c r="C48" t="s">
        <v>0</v>
      </c>
      <c r="D48">
        <v>1.28</v>
      </c>
      <c r="E48">
        <v>3</v>
      </c>
    </row>
    <row r="49" spans="1:5" x14ac:dyDescent="0.3">
      <c r="A49">
        <v>77010000075</v>
      </c>
      <c r="B49">
        <v>1</v>
      </c>
      <c r="C49" t="s">
        <v>0</v>
      </c>
      <c r="D49">
        <v>1.28</v>
      </c>
      <c r="E49">
        <v>3</v>
      </c>
    </row>
    <row r="50" spans="1:5" x14ac:dyDescent="0.3">
      <c r="A50">
        <v>77010000088</v>
      </c>
      <c r="B50">
        <v>1</v>
      </c>
      <c r="C50" t="s">
        <v>0</v>
      </c>
      <c r="D50">
        <v>1.28</v>
      </c>
      <c r="E50">
        <v>3</v>
      </c>
    </row>
    <row r="51" spans="1:5" x14ac:dyDescent="0.3">
      <c r="A51">
        <v>77010000002</v>
      </c>
      <c r="B51">
        <v>1</v>
      </c>
      <c r="C51" t="s">
        <v>0</v>
      </c>
      <c r="D51">
        <v>1.28</v>
      </c>
      <c r="E51">
        <v>3</v>
      </c>
    </row>
    <row r="52" spans="1:5" x14ac:dyDescent="0.3">
      <c r="A52">
        <v>77010000049</v>
      </c>
      <c r="B52">
        <v>1</v>
      </c>
      <c r="C52" t="s">
        <v>0</v>
      </c>
      <c r="D52">
        <v>1.28</v>
      </c>
      <c r="E52">
        <v>3</v>
      </c>
    </row>
    <row r="53" spans="1:5" x14ac:dyDescent="0.3">
      <c r="A53">
        <v>77010000079</v>
      </c>
      <c r="B53">
        <v>1</v>
      </c>
      <c r="C53" t="s">
        <v>0</v>
      </c>
      <c r="D53">
        <v>1.28</v>
      </c>
      <c r="E53">
        <v>3</v>
      </c>
    </row>
    <row r="54" spans="1:5" x14ac:dyDescent="0.3">
      <c r="A54">
        <v>77010000002</v>
      </c>
      <c r="B54">
        <v>1</v>
      </c>
      <c r="C54" t="s">
        <v>0</v>
      </c>
      <c r="D54">
        <v>1.7</v>
      </c>
      <c r="E54">
        <v>4</v>
      </c>
    </row>
    <row r="55" spans="1:5" x14ac:dyDescent="0.3">
      <c r="A55">
        <v>77010000048</v>
      </c>
      <c r="B55">
        <v>1</v>
      </c>
      <c r="C55" t="s">
        <v>0</v>
      </c>
      <c r="D55">
        <v>1.7</v>
      </c>
      <c r="E55">
        <v>4</v>
      </c>
    </row>
    <row r="56" spans="1:5" x14ac:dyDescent="0.3">
      <c r="A56">
        <v>77010000064</v>
      </c>
      <c r="B56">
        <v>1</v>
      </c>
      <c r="C56" t="s">
        <v>0</v>
      </c>
      <c r="D56">
        <v>1.7</v>
      </c>
      <c r="E56">
        <v>4</v>
      </c>
    </row>
    <row r="57" spans="1:5" x14ac:dyDescent="0.3">
      <c r="A57">
        <v>77010000061</v>
      </c>
      <c r="B57">
        <v>1</v>
      </c>
      <c r="C57" t="s">
        <v>0</v>
      </c>
      <c r="D57">
        <v>1.7</v>
      </c>
      <c r="E57">
        <v>4</v>
      </c>
    </row>
    <row r="58" spans="1:5" x14ac:dyDescent="0.3">
      <c r="A58">
        <v>77010000054</v>
      </c>
      <c r="B58">
        <v>1</v>
      </c>
      <c r="C58" t="s">
        <v>1</v>
      </c>
      <c r="D58">
        <v>7.43</v>
      </c>
      <c r="E58">
        <v>4</v>
      </c>
    </row>
    <row r="59" spans="1:5" x14ac:dyDescent="0.3">
      <c r="A59">
        <v>77010000057</v>
      </c>
      <c r="B59">
        <v>1</v>
      </c>
      <c r="C59" t="s">
        <v>0</v>
      </c>
      <c r="D59">
        <v>1.7</v>
      </c>
      <c r="E59">
        <v>4</v>
      </c>
    </row>
    <row r="60" spans="1:5" x14ac:dyDescent="0.3">
      <c r="A60">
        <v>77010000084</v>
      </c>
      <c r="B60">
        <v>1</v>
      </c>
      <c r="C60" t="s">
        <v>1</v>
      </c>
      <c r="D60">
        <v>7.43</v>
      </c>
      <c r="E60">
        <v>4</v>
      </c>
    </row>
    <row r="61" spans="1:5" x14ac:dyDescent="0.3">
      <c r="A61">
        <v>77010000004</v>
      </c>
      <c r="B61">
        <v>1</v>
      </c>
      <c r="C61" t="s">
        <v>0</v>
      </c>
      <c r="D61">
        <v>1.7</v>
      </c>
      <c r="E61">
        <v>4</v>
      </c>
    </row>
    <row r="62" spans="1:5" x14ac:dyDescent="0.3">
      <c r="A62">
        <v>77010000005</v>
      </c>
      <c r="B62">
        <v>1</v>
      </c>
      <c r="C62" t="s">
        <v>0</v>
      </c>
      <c r="D62">
        <v>1.7</v>
      </c>
      <c r="E62">
        <v>4</v>
      </c>
    </row>
    <row r="63" spans="1:5" x14ac:dyDescent="0.3">
      <c r="A63">
        <v>77010000007</v>
      </c>
      <c r="B63">
        <v>1</v>
      </c>
      <c r="C63" t="s">
        <v>0</v>
      </c>
      <c r="D63">
        <v>1.7</v>
      </c>
      <c r="E63">
        <v>4</v>
      </c>
    </row>
    <row r="64" spans="1:5" x14ac:dyDescent="0.3">
      <c r="A64">
        <v>77010000052</v>
      </c>
      <c r="B64">
        <v>1</v>
      </c>
      <c r="C64" t="s">
        <v>0</v>
      </c>
      <c r="D64">
        <v>1.7</v>
      </c>
      <c r="E64">
        <v>4</v>
      </c>
    </row>
    <row r="65" spans="1:5" x14ac:dyDescent="0.3">
      <c r="A65">
        <v>77010000062</v>
      </c>
      <c r="B65">
        <v>1</v>
      </c>
      <c r="C65" t="s">
        <v>1</v>
      </c>
      <c r="D65">
        <v>7.43</v>
      </c>
      <c r="E65">
        <v>5</v>
      </c>
    </row>
    <row r="66" spans="1:5" x14ac:dyDescent="0.3">
      <c r="A66">
        <v>77010000048</v>
      </c>
      <c r="B66">
        <v>1</v>
      </c>
      <c r="C66" t="s">
        <v>0</v>
      </c>
      <c r="D66">
        <v>2.13</v>
      </c>
      <c r="E66">
        <v>5</v>
      </c>
    </row>
    <row r="67" spans="1:5" x14ac:dyDescent="0.3">
      <c r="A67">
        <v>77010000067</v>
      </c>
      <c r="B67">
        <v>1</v>
      </c>
      <c r="C67" t="s">
        <v>0</v>
      </c>
      <c r="D67">
        <v>2.13</v>
      </c>
      <c r="E67">
        <v>5</v>
      </c>
    </row>
    <row r="68" spans="1:5" x14ac:dyDescent="0.3">
      <c r="A68">
        <v>77010000089</v>
      </c>
      <c r="B68">
        <v>1</v>
      </c>
      <c r="C68" t="s">
        <v>0</v>
      </c>
      <c r="D68">
        <v>2.13</v>
      </c>
      <c r="E68">
        <v>5</v>
      </c>
    </row>
    <row r="69" spans="1:5" x14ac:dyDescent="0.3">
      <c r="A69">
        <v>77010000093</v>
      </c>
      <c r="B69">
        <v>1</v>
      </c>
      <c r="C69" t="s">
        <v>0</v>
      </c>
      <c r="D69">
        <v>2.13</v>
      </c>
      <c r="E69">
        <v>5</v>
      </c>
    </row>
    <row r="70" spans="1:5" x14ac:dyDescent="0.3">
      <c r="A70">
        <v>77010000018</v>
      </c>
      <c r="B70">
        <v>1</v>
      </c>
      <c r="C70" t="s">
        <v>0</v>
      </c>
      <c r="D70">
        <v>2.13</v>
      </c>
      <c r="E70">
        <v>5</v>
      </c>
    </row>
    <row r="71" spans="1:5" x14ac:dyDescent="0.3">
      <c r="A71">
        <v>77010000048</v>
      </c>
      <c r="B71">
        <v>1</v>
      </c>
      <c r="C71" t="s">
        <v>0</v>
      </c>
      <c r="D71">
        <v>2.13</v>
      </c>
      <c r="E71">
        <v>5</v>
      </c>
    </row>
    <row r="72" spans="1:5" x14ac:dyDescent="0.3">
      <c r="A72">
        <v>77010000073</v>
      </c>
      <c r="B72">
        <v>1</v>
      </c>
      <c r="C72" t="s">
        <v>2</v>
      </c>
      <c r="D72">
        <v>7.43</v>
      </c>
      <c r="E72">
        <v>5</v>
      </c>
    </row>
    <row r="73" spans="1:5" x14ac:dyDescent="0.3">
      <c r="A73">
        <v>77010000056</v>
      </c>
      <c r="B73">
        <v>1</v>
      </c>
      <c r="C73" t="s">
        <v>1</v>
      </c>
      <c r="D73">
        <v>7.43</v>
      </c>
      <c r="E73">
        <v>6</v>
      </c>
    </row>
    <row r="74" spans="1:5" x14ac:dyDescent="0.3">
      <c r="A74">
        <v>77010000057</v>
      </c>
      <c r="B74">
        <v>1</v>
      </c>
      <c r="C74" t="s">
        <v>0</v>
      </c>
      <c r="D74">
        <v>2.56</v>
      </c>
      <c r="E74">
        <v>6</v>
      </c>
    </row>
    <row r="75" spans="1:5" x14ac:dyDescent="0.3">
      <c r="A75">
        <v>77010000046</v>
      </c>
      <c r="B75">
        <v>1</v>
      </c>
      <c r="C75" t="s">
        <v>0</v>
      </c>
      <c r="D75">
        <v>2.56</v>
      </c>
      <c r="E75">
        <v>6</v>
      </c>
    </row>
    <row r="76" spans="1:5" x14ac:dyDescent="0.3">
      <c r="A76">
        <v>77010000053</v>
      </c>
      <c r="B76">
        <v>1</v>
      </c>
      <c r="C76" t="s">
        <v>3</v>
      </c>
      <c r="D76">
        <v>24.5</v>
      </c>
      <c r="E76">
        <v>6</v>
      </c>
    </row>
    <row r="77" spans="1:5" x14ac:dyDescent="0.3">
      <c r="A77">
        <v>77010000093</v>
      </c>
      <c r="B77">
        <v>1</v>
      </c>
      <c r="C77" t="s">
        <v>0</v>
      </c>
      <c r="D77">
        <v>2.56</v>
      </c>
      <c r="E77">
        <v>6</v>
      </c>
    </row>
    <row r="78" spans="1:5" x14ac:dyDescent="0.3">
      <c r="A78">
        <v>77010000085</v>
      </c>
      <c r="B78">
        <v>1</v>
      </c>
      <c r="C78" t="s">
        <v>0</v>
      </c>
      <c r="D78">
        <v>0.83</v>
      </c>
      <c r="E78">
        <v>6</v>
      </c>
    </row>
    <row r="79" spans="1:5" x14ac:dyDescent="0.3">
      <c r="A79">
        <v>77010000033</v>
      </c>
      <c r="B79">
        <v>1</v>
      </c>
      <c r="C79" t="s">
        <v>0</v>
      </c>
      <c r="D79">
        <v>2.56</v>
      </c>
      <c r="E79">
        <v>6</v>
      </c>
    </row>
    <row r="80" spans="1:5" x14ac:dyDescent="0.3">
      <c r="A80">
        <v>77010000049</v>
      </c>
      <c r="B80">
        <v>1</v>
      </c>
      <c r="C80" t="s">
        <v>0</v>
      </c>
      <c r="D80">
        <v>2.98</v>
      </c>
      <c r="E80">
        <v>7</v>
      </c>
    </row>
    <row r="81" spans="1:5" x14ac:dyDescent="0.3">
      <c r="A81">
        <v>77010000073</v>
      </c>
      <c r="B81">
        <v>1</v>
      </c>
      <c r="C81" t="s">
        <v>0</v>
      </c>
      <c r="D81">
        <v>2.98</v>
      </c>
      <c r="E81">
        <v>7</v>
      </c>
    </row>
    <row r="82" spans="1:5" x14ac:dyDescent="0.3">
      <c r="A82">
        <v>77010000014</v>
      </c>
      <c r="B82">
        <v>1</v>
      </c>
      <c r="C82" t="s">
        <v>0</v>
      </c>
      <c r="D82">
        <v>2.98</v>
      </c>
      <c r="E82">
        <v>7</v>
      </c>
    </row>
    <row r="83" spans="1:5" x14ac:dyDescent="0.3">
      <c r="A83">
        <v>77010000006</v>
      </c>
      <c r="B83">
        <v>1</v>
      </c>
      <c r="C83" t="s">
        <v>0</v>
      </c>
      <c r="D83">
        <v>0</v>
      </c>
      <c r="E83">
        <v>7</v>
      </c>
    </row>
    <row r="84" spans="1:5" x14ac:dyDescent="0.3">
      <c r="A84">
        <v>77010000031</v>
      </c>
      <c r="B84">
        <v>1</v>
      </c>
      <c r="C84" t="s">
        <v>0</v>
      </c>
      <c r="D84">
        <v>2.98</v>
      </c>
      <c r="E84">
        <v>7</v>
      </c>
    </row>
    <row r="85" spans="1:5" x14ac:dyDescent="0.3">
      <c r="A85">
        <v>77010000042</v>
      </c>
      <c r="B85">
        <v>1</v>
      </c>
      <c r="C85" t="s">
        <v>0</v>
      </c>
      <c r="D85">
        <v>2.98</v>
      </c>
      <c r="E85">
        <v>7</v>
      </c>
    </row>
    <row r="86" spans="1:5" x14ac:dyDescent="0.3">
      <c r="A86">
        <v>77010000079</v>
      </c>
      <c r="B86">
        <v>1</v>
      </c>
      <c r="C86" t="s">
        <v>0</v>
      </c>
      <c r="D86">
        <v>2.98</v>
      </c>
      <c r="E86">
        <v>7</v>
      </c>
    </row>
    <row r="87" spans="1:5" x14ac:dyDescent="0.3">
      <c r="A87">
        <v>77010000007</v>
      </c>
      <c r="B87">
        <v>1</v>
      </c>
      <c r="C87" t="s">
        <v>0</v>
      </c>
      <c r="D87">
        <v>3.41</v>
      </c>
      <c r="E87">
        <v>8</v>
      </c>
    </row>
    <row r="88" spans="1:5" x14ac:dyDescent="0.3">
      <c r="A88">
        <v>77010000050</v>
      </c>
      <c r="B88">
        <v>1</v>
      </c>
      <c r="C88" t="s">
        <v>0</v>
      </c>
      <c r="D88">
        <v>3.41</v>
      </c>
      <c r="E88">
        <v>8</v>
      </c>
    </row>
    <row r="89" spans="1:5" x14ac:dyDescent="0.3">
      <c r="A89">
        <v>77010000054</v>
      </c>
      <c r="B89">
        <v>1</v>
      </c>
      <c r="C89" t="s">
        <v>1</v>
      </c>
      <c r="D89">
        <v>7.43</v>
      </c>
      <c r="E89">
        <v>8</v>
      </c>
    </row>
    <row r="90" spans="1:5" x14ac:dyDescent="0.3">
      <c r="A90">
        <v>77010000055</v>
      </c>
      <c r="B90">
        <v>1</v>
      </c>
      <c r="C90" t="s">
        <v>0</v>
      </c>
      <c r="D90">
        <v>3.41</v>
      </c>
      <c r="E90">
        <v>8</v>
      </c>
    </row>
    <row r="91" spans="1:5" x14ac:dyDescent="0.3">
      <c r="A91">
        <v>77010000057</v>
      </c>
      <c r="B91">
        <v>1</v>
      </c>
      <c r="C91" t="s">
        <v>0</v>
      </c>
      <c r="D91">
        <v>3.41</v>
      </c>
      <c r="E91">
        <v>8</v>
      </c>
    </row>
    <row r="92" spans="1:5" x14ac:dyDescent="0.3">
      <c r="A92">
        <v>77010000060</v>
      </c>
      <c r="B92">
        <v>1</v>
      </c>
      <c r="C92" t="s">
        <v>0</v>
      </c>
      <c r="D92">
        <v>3.41</v>
      </c>
      <c r="E92">
        <v>8</v>
      </c>
    </row>
    <row r="93" spans="1:5" x14ac:dyDescent="0.3">
      <c r="A93">
        <v>77010000058</v>
      </c>
      <c r="B93">
        <v>1</v>
      </c>
      <c r="C93" t="s">
        <v>0</v>
      </c>
      <c r="D93">
        <v>3.41</v>
      </c>
      <c r="E93">
        <v>8</v>
      </c>
    </row>
    <row r="94" spans="1:5" x14ac:dyDescent="0.3">
      <c r="A94">
        <v>77010000090</v>
      </c>
      <c r="B94">
        <v>1</v>
      </c>
      <c r="C94" t="s">
        <v>0</v>
      </c>
      <c r="D94">
        <v>3.41</v>
      </c>
      <c r="E94">
        <v>8</v>
      </c>
    </row>
    <row r="95" spans="1:5" x14ac:dyDescent="0.3">
      <c r="A95">
        <v>77010000076</v>
      </c>
      <c r="B95">
        <v>1</v>
      </c>
      <c r="C95" t="s">
        <v>0</v>
      </c>
      <c r="D95">
        <v>3.41</v>
      </c>
      <c r="E95">
        <v>8</v>
      </c>
    </row>
    <row r="96" spans="1:5" x14ac:dyDescent="0.3">
      <c r="A96">
        <v>77010000035</v>
      </c>
      <c r="B96">
        <v>1</v>
      </c>
      <c r="C96" t="s">
        <v>0</v>
      </c>
      <c r="D96">
        <v>3.41</v>
      </c>
      <c r="E96">
        <v>8</v>
      </c>
    </row>
    <row r="97" spans="1:5" x14ac:dyDescent="0.3">
      <c r="A97">
        <v>77010000023</v>
      </c>
      <c r="B97">
        <v>1</v>
      </c>
      <c r="C97" t="s">
        <v>0</v>
      </c>
      <c r="D97">
        <v>3.41</v>
      </c>
      <c r="E97">
        <v>8</v>
      </c>
    </row>
    <row r="98" spans="1:5" x14ac:dyDescent="0.3">
      <c r="A98">
        <v>77010000039</v>
      </c>
      <c r="B98">
        <v>1</v>
      </c>
      <c r="C98" t="s">
        <v>0</v>
      </c>
      <c r="D98">
        <v>3.41</v>
      </c>
      <c r="E98">
        <v>8</v>
      </c>
    </row>
    <row r="99" spans="1:5" x14ac:dyDescent="0.3">
      <c r="A99">
        <v>77010000058</v>
      </c>
      <c r="B99">
        <v>1</v>
      </c>
      <c r="C99" t="s">
        <v>2</v>
      </c>
      <c r="D99">
        <v>7.43</v>
      </c>
      <c r="E99">
        <v>9</v>
      </c>
    </row>
    <row r="100" spans="1:5" x14ac:dyDescent="0.3">
      <c r="A100">
        <v>77010000061</v>
      </c>
      <c r="B100">
        <v>1</v>
      </c>
      <c r="C100" t="s">
        <v>0</v>
      </c>
      <c r="D100">
        <v>3.84</v>
      </c>
      <c r="E100">
        <v>9</v>
      </c>
    </row>
    <row r="101" spans="1:5" x14ac:dyDescent="0.3">
      <c r="A101">
        <v>77010000069</v>
      </c>
      <c r="B101">
        <v>1</v>
      </c>
      <c r="C101" t="s">
        <v>0</v>
      </c>
      <c r="D101">
        <v>3.84</v>
      </c>
      <c r="E101">
        <v>9</v>
      </c>
    </row>
    <row r="102" spans="1:5" x14ac:dyDescent="0.3">
      <c r="A102">
        <v>77010000067</v>
      </c>
      <c r="B102">
        <v>1</v>
      </c>
      <c r="C102" t="s">
        <v>3</v>
      </c>
      <c r="D102">
        <v>24.5</v>
      </c>
      <c r="E102">
        <v>9</v>
      </c>
    </row>
    <row r="103" spans="1:5" x14ac:dyDescent="0.3">
      <c r="A103">
        <v>77010000040</v>
      </c>
      <c r="B103">
        <v>1</v>
      </c>
      <c r="C103" t="s">
        <v>0</v>
      </c>
      <c r="D103">
        <v>3.84</v>
      </c>
      <c r="E103">
        <v>9</v>
      </c>
    </row>
    <row r="104" spans="1:5" x14ac:dyDescent="0.3">
      <c r="A104">
        <v>77010000047</v>
      </c>
      <c r="B104">
        <v>1</v>
      </c>
      <c r="C104" t="s">
        <v>0</v>
      </c>
      <c r="D104">
        <v>3.84</v>
      </c>
      <c r="E104">
        <v>9</v>
      </c>
    </row>
    <row r="105" spans="1:5" x14ac:dyDescent="0.3">
      <c r="A105">
        <v>77010000050</v>
      </c>
      <c r="B105">
        <v>1</v>
      </c>
      <c r="C105" t="s">
        <v>0</v>
      </c>
      <c r="D105">
        <v>3.84</v>
      </c>
      <c r="E105">
        <v>9</v>
      </c>
    </row>
    <row r="106" spans="1:5" x14ac:dyDescent="0.3">
      <c r="A106">
        <v>77010000009</v>
      </c>
      <c r="B106">
        <v>1</v>
      </c>
      <c r="C106" t="s">
        <v>0</v>
      </c>
      <c r="D106">
        <v>3.84</v>
      </c>
      <c r="E106">
        <v>9</v>
      </c>
    </row>
    <row r="107" spans="1:5" x14ac:dyDescent="0.3">
      <c r="A107">
        <v>77010000017</v>
      </c>
      <c r="B107">
        <v>1</v>
      </c>
      <c r="C107" t="s">
        <v>3</v>
      </c>
      <c r="D107">
        <v>24.5</v>
      </c>
      <c r="E107">
        <v>9</v>
      </c>
    </row>
    <row r="108" spans="1:5" x14ac:dyDescent="0.3">
      <c r="A108">
        <v>77010000031</v>
      </c>
      <c r="B108">
        <v>1</v>
      </c>
      <c r="C108" t="s">
        <v>0</v>
      </c>
      <c r="D108">
        <v>3.84</v>
      </c>
      <c r="E108">
        <v>9</v>
      </c>
    </row>
    <row r="109" spans="1:5" x14ac:dyDescent="0.3">
      <c r="A109">
        <v>77010000043</v>
      </c>
      <c r="B109">
        <v>1</v>
      </c>
      <c r="C109" t="s">
        <v>0</v>
      </c>
      <c r="D109">
        <v>3.84</v>
      </c>
      <c r="E109">
        <v>9</v>
      </c>
    </row>
    <row r="110" spans="1:5" x14ac:dyDescent="0.3">
      <c r="A110">
        <v>77010000002</v>
      </c>
      <c r="B110">
        <v>1</v>
      </c>
      <c r="C110" t="s">
        <v>0</v>
      </c>
      <c r="D110">
        <v>3.84</v>
      </c>
      <c r="E110">
        <v>9</v>
      </c>
    </row>
    <row r="111" spans="1:5" x14ac:dyDescent="0.3">
      <c r="A111">
        <v>77010000013</v>
      </c>
      <c r="B111">
        <v>1</v>
      </c>
      <c r="C111" t="s">
        <v>0</v>
      </c>
      <c r="D111">
        <v>3.84</v>
      </c>
      <c r="E111">
        <v>9</v>
      </c>
    </row>
    <row r="112" spans="1:5" x14ac:dyDescent="0.3">
      <c r="A112">
        <v>77010000036</v>
      </c>
      <c r="B112">
        <v>1</v>
      </c>
      <c r="C112" t="s">
        <v>0</v>
      </c>
      <c r="D112">
        <v>3.84</v>
      </c>
      <c r="E112">
        <v>9</v>
      </c>
    </row>
    <row r="113" spans="1:5" x14ac:dyDescent="0.3">
      <c r="A113">
        <v>77010000076</v>
      </c>
      <c r="B113">
        <v>1</v>
      </c>
      <c r="C113" t="s">
        <v>0</v>
      </c>
      <c r="D113">
        <v>3.84</v>
      </c>
      <c r="E113">
        <v>9</v>
      </c>
    </row>
    <row r="114" spans="1:5" x14ac:dyDescent="0.3">
      <c r="A114">
        <v>77010000079</v>
      </c>
      <c r="B114">
        <v>1</v>
      </c>
      <c r="C114" t="s">
        <v>0</v>
      </c>
      <c r="D114">
        <v>3.84</v>
      </c>
      <c r="E114">
        <v>9</v>
      </c>
    </row>
    <row r="115" spans="1:5" x14ac:dyDescent="0.3">
      <c r="A115">
        <v>77010000074</v>
      </c>
      <c r="B115">
        <v>1</v>
      </c>
      <c r="C115" t="s">
        <v>0</v>
      </c>
      <c r="D115">
        <v>3.84</v>
      </c>
      <c r="E115">
        <v>9</v>
      </c>
    </row>
    <row r="116" spans="1:5" x14ac:dyDescent="0.3">
      <c r="A116">
        <v>77010000076</v>
      </c>
      <c r="B116">
        <v>1</v>
      </c>
      <c r="C116" t="s">
        <v>0</v>
      </c>
      <c r="D116">
        <v>3.84</v>
      </c>
      <c r="E116">
        <v>9</v>
      </c>
    </row>
    <row r="117" spans="1:5" x14ac:dyDescent="0.3">
      <c r="A117">
        <v>77010000078</v>
      </c>
      <c r="B117">
        <v>1</v>
      </c>
      <c r="C117" t="s">
        <v>0</v>
      </c>
      <c r="D117">
        <v>3.84</v>
      </c>
      <c r="E117">
        <v>9</v>
      </c>
    </row>
    <row r="118" spans="1:5" x14ac:dyDescent="0.3">
      <c r="A118">
        <v>77010000056</v>
      </c>
      <c r="B118">
        <v>1</v>
      </c>
      <c r="C118" t="s">
        <v>0</v>
      </c>
      <c r="D118">
        <v>4.26</v>
      </c>
      <c r="E118">
        <v>10</v>
      </c>
    </row>
    <row r="119" spans="1:5" x14ac:dyDescent="0.3">
      <c r="A119">
        <v>77010000049</v>
      </c>
      <c r="B119">
        <v>1</v>
      </c>
      <c r="C119" t="s">
        <v>0</v>
      </c>
      <c r="D119">
        <v>4.26</v>
      </c>
      <c r="E119">
        <v>10</v>
      </c>
    </row>
    <row r="120" spans="1:5" x14ac:dyDescent="0.3">
      <c r="A120">
        <v>77010000051</v>
      </c>
      <c r="B120">
        <v>1</v>
      </c>
      <c r="C120" t="s">
        <v>3</v>
      </c>
      <c r="D120">
        <v>24.5</v>
      </c>
      <c r="E120">
        <v>10</v>
      </c>
    </row>
    <row r="121" spans="1:5" x14ac:dyDescent="0.3">
      <c r="A121">
        <v>77010000059</v>
      </c>
      <c r="B121">
        <v>1</v>
      </c>
      <c r="C121" t="s">
        <v>0</v>
      </c>
      <c r="D121">
        <v>4.26</v>
      </c>
      <c r="E121">
        <v>10</v>
      </c>
    </row>
    <row r="122" spans="1:5" x14ac:dyDescent="0.3">
      <c r="A122">
        <v>77010000068</v>
      </c>
      <c r="B122">
        <v>1</v>
      </c>
      <c r="C122" t="s">
        <v>0</v>
      </c>
      <c r="D122">
        <v>4.26</v>
      </c>
      <c r="E122">
        <v>10</v>
      </c>
    </row>
    <row r="123" spans="1:5" x14ac:dyDescent="0.3">
      <c r="A123">
        <v>77010000077</v>
      </c>
      <c r="B123">
        <v>1</v>
      </c>
      <c r="C123" t="s">
        <v>0</v>
      </c>
      <c r="D123">
        <v>4.26</v>
      </c>
      <c r="E123">
        <v>10</v>
      </c>
    </row>
    <row r="124" spans="1:5" x14ac:dyDescent="0.3">
      <c r="A124">
        <v>77010000083</v>
      </c>
      <c r="B124">
        <v>1</v>
      </c>
      <c r="C124" t="s">
        <v>0</v>
      </c>
      <c r="D124">
        <v>4.26</v>
      </c>
      <c r="E124">
        <v>10</v>
      </c>
    </row>
    <row r="125" spans="1:5" x14ac:dyDescent="0.3">
      <c r="A125">
        <v>77010000090</v>
      </c>
      <c r="B125">
        <v>1</v>
      </c>
      <c r="C125" t="s">
        <v>0</v>
      </c>
      <c r="D125">
        <v>4.26</v>
      </c>
      <c r="E125">
        <v>10</v>
      </c>
    </row>
    <row r="126" spans="1:5" x14ac:dyDescent="0.3">
      <c r="A126">
        <v>77010000011</v>
      </c>
      <c r="B126">
        <v>1</v>
      </c>
      <c r="C126" t="s">
        <v>0</v>
      </c>
      <c r="D126">
        <v>4.26</v>
      </c>
      <c r="E126">
        <v>10</v>
      </c>
    </row>
    <row r="127" spans="1:5" x14ac:dyDescent="0.3">
      <c r="A127">
        <v>77010000027</v>
      </c>
      <c r="B127">
        <v>1</v>
      </c>
      <c r="C127" t="s">
        <v>1</v>
      </c>
      <c r="D127">
        <v>7.43</v>
      </c>
      <c r="E127">
        <v>10</v>
      </c>
    </row>
    <row r="128" spans="1:5" x14ac:dyDescent="0.3">
      <c r="A128">
        <v>77010000039</v>
      </c>
      <c r="B128">
        <v>1</v>
      </c>
      <c r="C128" t="s">
        <v>0</v>
      </c>
      <c r="D128">
        <v>4.26</v>
      </c>
      <c r="E128">
        <v>10</v>
      </c>
    </row>
    <row r="129" spans="1:5" x14ac:dyDescent="0.3">
      <c r="A129">
        <v>77010000045</v>
      </c>
      <c r="B129">
        <v>1</v>
      </c>
      <c r="C129" t="s">
        <v>0</v>
      </c>
      <c r="D129">
        <v>4.26</v>
      </c>
      <c r="E129">
        <v>10</v>
      </c>
    </row>
    <row r="130" spans="1:5" x14ac:dyDescent="0.3">
      <c r="A130">
        <v>77010000046</v>
      </c>
      <c r="B130">
        <v>1</v>
      </c>
      <c r="C130" t="s">
        <v>0</v>
      </c>
      <c r="D130">
        <v>4.26</v>
      </c>
      <c r="E130">
        <v>10</v>
      </c>
    </row>
    <row r="131" spans="1:5" x14ac:dyDescent="0.3">
      <c r="A131">
        <v>77010000011</v>
      </c>
      <c r="B131">
        <v>1</v>
      </c>
      <c r="C131" t="s">
        <v>0</v>
      </c>
      <c r="D131">
        <v>4.26</v>
      </c>
      <c r="E131">
        <v>10</v>
      </c>
    </row>
    <row r="132" spans="1:5" x14ac:dyDescent="0.3">
      <c r="A132">
        <v>77010000032</v>
      </c>
      <c r="B132">
        <v>1</v>
      </c>
      <c r="C132" t="s">
        <v>0</v>
      </c>
      <c r="D132">
        <v>4.26</v>
      </c>
      <c r="E132">
        <v>10</v>
      </c>
    </row>
    <row r="133" spans="1:5" x14ac:dyDescent="0.3">
      <c r="A133">
        <v>77010000078</v>
      </c>
      <c r="B133">
        <v>1</v>
      </c>
      <c r="C133" t="s">
        <v>0</v>
      </c>
      <c r="D133">
        <v>4.26</v>
      </c>
      <c r="E133">
        <v>10</v>
      </c>
    </row>
    <row r="134" spans="1:5" x14ac:dyDescent="0.3">
      <c r="A134">
        <v>77010000057</v>
      </c>
      <c r="B134">
        <v>1</v>
      </c>
      <c r="C134" t="s">
        <v>0</v>
      </c>
      <c r="D134">
        <v>4.6900000000000004</v>
      </c>
      <c r="E134">
        <v>11</v>
      </c>
    </row>
    <row r="135" spans="1:5" x14ac:dyDescent="0.3">
      <c r="A135">
        <v>77010000053</v>
      </c>
      <c r="B135">
        <v>1</v>
      </c>
      <c r="C135" t="s">
        <v>0</v>
      </c>
      <c r="D135">
        <v>4.6900000000000004</v>
      </c>
      <c r="E135">
        <v>11</v>
      </c>
    </row>
    <row r="136" spans="1:5" x14ac:dyDescent="0.3">
      <c r="A136">
        <v>77010000063</v>
      </c>
      <c r="B136">
        <v>1</v>
      </c>
      <c r="C136" t="s">
        <v>0</v>
      </c>
      <c r="D136">
        <v>4.6900000000000004</v>
      </c>
      <c r="E136">
        <v>11</v>
      </c>
    </row>
    <row r="137" spans="1:5" x14ac:dyDescent="0.3">
      <c r="A137">
        <v>77010000055</v>
      </c>
      <c r="B137">
        <v>1</v>
      </c>
      <c r="C137" t="s">
        <v>3</v>
      </c>
      <c r="D137">
        <v>24.5</v>
      </c>
      <c r="E137">
        <v>11</v>
      </c>
    </row>
    <row r="138" spans="1:5" x14ac:dyDescent="0.3">
      <c r="A138">
        <v>77010000052</v>
      </c>
      <c r="B138">
        <v>1</v>
      </c>
      <c r="C138" t="s">
        <v>0</v>
      </c>
      <c r="D138">
        <v>4.6900000000000004</v>
      </c>
      <c r="E138">
        <v>11</v>
      </c>
    </row>
    <row r="139" spans="1:5" x14ac:dyDescent="0.3">
      <c r="A139">
        <v>77010000056</v>
      </c>
      <c r="B139">
        <v>1</v>
      </c>
      <c r="C139" t="s">
        <v>0</v>
      </c>
      <c r="D139">
        <v>4.6900000000000004</v>
      </c>
      <c r="E139">
        <v>11</v>
      </c>
    </row>
    <row r="140" spans="1:5" x14ac:dyDescent="0.3">
      <c r="A140">
        <v>77010000060</v>
      </c>
      <c r="B140">
        <v>1</v>
      </c>
      <c r="C140" t="s">
        <v>0</v>
      </c>
      <c r="D140">
        <v>4.6900000000000004</v>
      </c>
      <c r="E140">
        <v>11</v>
      </c>
    </row>
    <row r="141" spans="1:5" x14ac:dyDescent="0.3">
      <c r="A141">
        <v>77010000092</v>
      </c>
      <c r="B141">
        <v>1</v>
      </c>
      <c r="C141" t="s">
        <v>3</v>
      </c>
      <c r="D141">
        <v>24.5</v>
      </c>
      <c r="E141">
        <v>11</v>
      </c>
    </row>
    <row r="142" spans="1:5" x14ac:dyDescent="0.3">
      <c r="A142">
        <v>77010000066</v>
      </c>
      <c r="B142">
        <v>1</v>
      </c>
      <c r="C142" t="s">
        <v>0</v>
      </c>
      <c r="D142">
        <v>4.6900000000000004</v>
      </c>
      <c r="E142">
        <v>11</v>
      </c>
    </row>
    <row r="143" spans="1:5" x14ac:dyDescent="0.3">
      <c r="A143">
        <v>77010000074</v>
      </c>
      <c r="B143">
        <v>1</v>
      </c>
      <c r="C143" t="s">
        <v>0</v>
      </c>
      <c r="D143">
        <v>4.6900000000000004</v>
      </c>
      <c r="E143">
        <v>11</v>
      </c>
    </row>
    <row r="144" spans="1:5" x14ac:dyDescent="0.3">
      <c r="A144">
        <v>77010000006</v>
      </c>
      <c r="B144">
        <v>1</v>
      </c>
      <c r="C144" t="s">
        <v>0</v>
      </c>
      <c r="D144">
        <v>4.6900000000000004</v>
      </c>
      <c r="E144">
        <v>11</v>
      </c>
    </row>
    <row r="145" spans="1:5" x14ac:dyDescent="0.3">
      <c r="A145">
        <v>77010000022</v>
      </c>
      <c r="B145">
        <v>1</v>
      </c>
      <c r="C145" t="s">
        <v>0</v>
      </c>
      <c r="D145">
        <v>4.6900000000000004</v>
      </c>
      <c r="E145">
        <v>11</v>
      </c>
    </row>
    <row r="146" spans="1:5" x14ac:dyDescent="0.3">
      <c r="A146">
        <v>77010000037</v>
      </c>
      <c r="B146">
        <v>1</v>
      </c>
      <c r="C146" t="s">
        <v>0</v>
      </c>
      <c r="D146">
        <v>4.6900000000000004</v>
      </c>
      <c r="E146">
        <v>11</v>
      </c>
    </row>
    <row r="147" spans="1:5" x14ac:dyDescent="0.3">
      <c r="A147">
        <v>77010000018</v>
      </c>
      <c r="B147">
        <v>1</v>
      </c>
      <c r="C147" t="s">
        <v>0</v>
      </c>
      <c r="D147">
        <v>4.6900000000000004</v>
      </c>
      <c r="E147">
        <v>11</v>
      </c>
    </row>
    <row r="148" spans="1:5" x14ac:dyDescent="0.3">
      <c r="A148">
        <v>77010000034</v>
      </c>
      <c r="B148">
        <v>1</v>
      </c>
      <c r="C148" t="s">
        <v>0</v>
      </c>
      <c r="D148">
        <v>4.6900000000000004</v>
      </c>
      <c r="E148">
        <v>11</v>
      </c>
    </row>
    <row r="149" spans="1:5" x14ac:dyDescent="0.3">
      <c r="A149">
        <v>77010000051</v>
      </c>
      <c r="B149">
        <v>1</v>
      </c>
      <c r="C149" t="s">
        <v>0</v>
      </c>
      <c r="D149">
        <v>4.6900000000000004</v>
      </c>
      <c r="E149">
        <v>11</v>
      </c>
    </row>
    <row r="150" spans="1:5" x14ac:dyDescent="0.3">
      <c r="A150">
        <v>77010000082</v>
      </c>
      <c r="B150">
        <v>1</v>
      </c>
      <c r="C150" t="s">
        <v>0</v>
      </c>
      <c r="D150">
        <v>4.6900000000000004</v>
      </c>
      <c r="E150">
        <v>11</v>
      </c>
    </row>
    <row r="151" spans="1:5" x14ac:dyDescent="0.3">
      <c r="A151">
        <v>77010000080</v>
      </c>
      <c r="B151">
        <v>1</v>
      </c>
      <c r="C151" t="s">
        <v>0</v>
      </c>
      <c r="D151">
        <v>4.6900000000000004</v>
      </c>
      <c r="E151">
        <v>11</v>
      </c>
    </row>
    <row r="152" spans="1:5" x14ac:dyDescent="0.3">
      <c r="A152">
        <v>77010000059</v>
      </c>
      <c r="B152">
        <v>1</v>
      </c>
      <c r="C152" t="s">
        <v>0</v>
      </c>
      <c r="D152">
        <v>5.1100000000000003</v>
      </c>
      <c r="E152">
        <v>12</v>
      </c>
    </row>
    <row r="153" spans="1:5" x14ac:dyDescent="0.3">
      <c r="A153">
        <v>77010000052</v>
      </c>
      <c r="B153">
        <v>1</v>
      </c>
      <c r="C153" t="s">
        <v>0</v>
      </c>
      <c r="D153">
        <v>5.1100000000000003</v>
      </c>
      <c r="E153">
        <v>12</v>
      </c>
    </row>
    <row r="154" spans="1:5" x14ac:dyDescent="0.3">
      <c r="A154">
        <v>77010000059</v>
      </c>
      <c r="B154">
        <v>1</v>
      </c>
      <c r="C154" t="s">
        <v>0</v>
      </c>
      <c r="D154">
        <v>5.1100000000000003</v>
      </c>
      <c r="E154">
        <v>12</v>
      </c>
    </row>
    <row r="155" spans="1:5" x14ac:dyDescent="0.3">
      <c r="A155">
        <v>77010000068</v>
      </c>
      <c r="B155">
        <v>1</v>
      </c>
      <c r="C155" t="s">
        <v>0</v>
      </c>
      <c r="D155">
        <v>5.1100000000000003</v>
      </c>
      <c r="E155">
        <v>12</v>
      </c>
    </row>
    <row r="156" spans="1:5" x14ac:dyDescent="0.3">
      <c r="A156">
        <v>77010000039</v>
      </c>
      <c r="B156">
        <v>1</v>
      </c>
      <c r="C156" t="s">
        <v>0</v>
      </c>
      <c r="D156">
        <v>5.1100000000000003</v>
      </c>
      <c r="E156">
        <v>12</v>
      </c>
    </row>
    <row r="157" spans="1:5" x14ac:dyDescent="0.3">
      <c r="A157">
        <v>77010000041</v>
      </c>
      <c r="B157">
        <v>1</v>
      </c>
      <c r="C157" t="s">
        <v>0</v>
      </c>
      <c r="D157">
        <v>5.1100000000000003</v>
      </c>
      <c r="E157">
        <v>12</v>
      </c>
    </row>
    <row r="158" spans="1:5" x14ac:dyDescent="0.3">
      <c r="A158">
        <v>77010000044</v>
      </c>
      <c r="B158">
        <v>1</v>
      </c>
      <c r="C158" t="s">
        <v>0</v>
      </c>
      <c r="D158">
        <v>5.1100000000000003</v>
      </c>
      <c r="E158">
        <v>12</v>
      </c>
    </row>
    <row r="159" spans="1:5" x14ac:dyDescent="0.3">
      <c r="A159">
        <v>77010000091</v>
      </c>
      <c r="B159">
        <v>1</v>
      </c>
      <c r="C159" t="s">
        <v>0</v>
      </c>
      <c r="D159">
        <v>5.1100000000000003</v>
      </c>
      <c r="E159">
        <v>12</v>
      </c>
    </row>
    <row r="160" spans="1:5" x14ac:dyDescent="0.3">
      <c r="A160">
        <v>77010000021</v>
      </c>
      <c r="B160">
        <v>1</v>
      </c>
      <c r="C160" t="s">
        <v>1</v>
      </c>
      <c r="D160">
        <v>14.87</v>
      </c>
      <c r="E160">
        <v>12</v>
      </c>
    </row>
    <row r="161" spans="1:5" x14ac:dyDescent="0.3">
      <c r="A161">
        <v>77010000026</v>
      </c>
      <c r="B161">
        <v>1</v>
      </c>
      <c r="C161" t="s">
        <v>0</v>
      </c>
      <c r="D161">
        <v>5.1100000000000003</v>
      </c>
      <c r="E161">
        <v>12</v>
      </c>
    </row>
    <row r="162" spans="1:5" x14ac:dyDescent="0.3">
      <c r="A162">
        <v>77010000029</v>
      </c>
      <c r="B162">
        <v>1</v>
      </c>
      <c r="C162" t="s">
        <v>1</v>
      </c>
      <c r="D162">
        <v>14.87</v>
      </c>
      <c r="E162">
        <v>12</v>
      </c>
    </row>
    <row r="163" spans="1:5" x14ac:dyDescent="0.3">
      <c r="A163">
        <v>77010000038</v>
      </c>
      <c r="B163">
        <v>1</v>
      </c>
      <c r="C163" t="s">
        <v>0</v>
      </c>
      <c r="D163">
        <v>5.1100000000000003</v>
      </c>
      <c r="E163">
        <v>12</v>
      </c>
    </row>
    <row r="164" spans="1:5" x14ac:dyDescent="0.3">
      <c r="A164">
        <v>77010000053</v>
      </c>
      <c r="B164">
        <v>1</v>
      </c>
      <c r="C164" t="s">
        <v>0</v>
      </c>
      <c r="D164">
        <v>5.1100000000000003</v>
      </c>
      <c r="E164">
        <v>12</v>
      </c>
    </row>
    <row r="165" spans="1:5" x14ac:dyDescent="0.3">
      <c r="A165">
        <v>77010000057</v>
      </c>
      <c r="B165">
        <v>1</v>
      </c>
      <c r="C165" t="s">
        <v>0</v>
      </c>
      <c r="D165">
        <v>5.1100000000000003</v>
      </c>
      <c r="E165">
        <v>12</v>
      </c>
    </row>
    <row r="166" spans="1:5" x14ac:dyDescent="0.3">
      <c r="A166">
        <v>77010000060</v>
      </c>
      <c r="B166">
        <v>1</v>
      </c>
      <c r="C166" t="s">
        <v>0</v>
      </c>
      <c r="D166">
        <v>5.1100000000000003</v>
      </c>
      <c r="E166">
        <v>12</v>
      </c>
    </row>
    <row r="167" spans="1:5" x14ac:dyDescent="0.3">
      <c r="A167">
        <v>77010000080</v>
      </c>
      <c r="B167">
        <v>1</v>
      </c>
      <c r="C167" t="s">
        <v>0</v>
      </c>
      <c r="D167">
        <v>5.1100000000000003</v>
      </c>
      <c r="E167">
        <v>12</v>
      </c>
    </row>
    <row r="168" spans="1:5" x14ac:dyDescent="0.3">
      <c r="A168">
        <v>77010000020</v>
      </c>
      <c r="B168">
        <v>1</v>
      </c>
      <c r="C168" t="s">
        <v>0</v>
      </c>
      <c r="D168">
        <v>5.54</v>
      </c>
      <c r="E168">
        <v>13</v>
      </c>
    </row>
    <row r="169" spans="1:5" x14ac:dyDescent="0.3">
      <c r="A169">
        <v>77010000025</v>
      </c>
      <c r="B169">
        <v>1</v>
      </c>
      <c r="C169" t="s">
        <v>0</v>
      </c>
      <c r="D169">
        <v>5.54</v>
      </c>
      <c r="E169">
        <v>13</v>
      </c>
    </row>
    <row r="170" spans="1:5" x14ac:dyDescent="0.3">
      <c r="A170">
        <v>77010000034</v>
      </c>
      <c r="B170">
        <v>1</v>
      </c>
      <c r="C170" t="s">
        <v>0</v>
      </c>
      <c r="D170">
        <v>5.54</v>
      </c>
      <c r="E170">
        <v>13</v>
      </c>
    </row>
    <row r="171" spans="1:5" x14ac:dyDescent="0.3">
      <c r="A171">
        <v>77010000040</v>
      </c>
      <c r="B171">
        <v>1</v>
      </c>
      <c r="C171" t="s">
        <v>0</v>
      </c>
      <c r="D171">
        <v>5.54</v>
      </c>
      <c r="E171">
        <v>13</v>
      </c>
    </row>
    <row r="172" spans="1:5" x14ac:dyDescent="0.3">
      <c r="A172">
        <v>77010000044</v>
      </c>
      <c r="B172">
        <v>1</v>
      </c>
      <c r="C172" t="s">
        <v>0</v>
      </c>
      <c r="D172">
        <v>5.54</v>
      </c>
      <c r="E172">
        <v>13</v>
      </c>
    </row>
    <row r="173" spans="1:5" x14ac:dyDescent="0.3">
      <c r="A173">
        <v>77010000075</v>
      </c>
      <c r="B173">
        <v>1</v>
      </c>
      <c r="C173" t="s">
        <v>0</v>
      </c>
      <c r="D173">
        <v>5.54</v>
      </c>
      <c r="E173">
        <v>13</v>
      </c>
    </row>
    <row r="174" spans="1:5" x14ac:dyDescent="0.3">
      <c r="A174">
        <v>77010000050</v>
      </c>
      <c r="B174">
        <v>1</v>
      </c>
      <c r="C174" t="s">
        <v>0</v>
      </c>
      <c r="D174">
        <v>5.97</v>
      </c>
      <c r="E174">
        <v>14</v>
      </c>
    </row>
    <row r="175" spans="1:5" x14ac:dyDescent="0.3">
      <c r="A175">
        <v>77010000060</v>
      </c>
      <c r="B175">
        <v>1</v>
      </c>
      <c r="C175" t="s">
        <v>0</v>
      </c>
      <c r="D175">
        <v>5.97</v>
      </c>
      <c r="E175">
        <v>14</v>
      </c>
    </row>
    <row r="176" spans="1:5" x14ac:dyDescent="0.3">
      <c r="A176">
        <v>77010000038</v>
      </c>
      <c r="B176">
        <v>1</v>
      </c>
      <c r="C176" t="s">
        <v>2</v>
      </c>
      <c r="D176">
        <v>14.87</v>
      </c>
      <c r="E176">
        <v>14</v>
      </c>
    </row>
    <row r="177" spans="1:5" x14ac:dyDescent="0.3">
      <c r="A177">
        <v>77010000043</v>
      </c>
      <c r="B177">
        <v>1</v>
      </c>
      <c r="C177" t="s">
        <v>0</v>
      </c>
      <c r="D177">
        <v>5.97</v>
      </c>
      <c r="E177">
        <v>14</v>
      </c>
    </row>
    <row r="178" spans="1:5" x14ac:dyDescent="0.3">
      <c r="A178">
        <v>77010000081</v>
      </c>
      <c r="B178">
        <v>1</v>
      </c>
      <c r="C178" t="s">
        <v>0</v>
      </c>
      <c r="D178">
        <v>5.97</v>
      </c>
      <c r="E178">
        <v>14</v>
      </c>
    </row>
    <row r="179" spans="1:5" x14ac:dyDescent="0.3">
      <c r="A179">
        <v>77010000016</v>
      </c>
      <c r="B179">
        <v>1</v>
      </c>
      <c r="C179" t="s">
        <v>0</v>
      </c>
      <c r="D179">
        <v>5.97</v>
      </c>
      <c r="E179">
        <v>14</v>
      </c>
    </row>
    <row r="180" spans="1:5" x14ac:dyDescent="0.3">
      <c r="A180">
        <v>77010000023</v>
      </c>
      <c r="B180">
        <v>1</v>
      </c>
      <c r="C180" t="s">
        <v>0</v>
      </c>
      <c r="D180">
        <v>5.97</v>
      </c>
      <c r="E180">
        <v>14</v>
      </c>
    </row>
    <row r="181" spans="1:5" x14ac:dyDescent="0.3">
      <c r="A181">
        <v>77010000012</v>
      </c>
      <c r="B181">
        <v>1</v>
      </c>
      <c r="C181" t="s">
        <v>0</v>
      </c>
      <c r="D181">
        <v>5.97</v>
      </c>
      <c r="E181">
        <v>14</v>
      </c>
    </row>
    <row r="182" spans="1:5" x14ac:dyDescent="0.3">
      <c r="A182">
        <v>77010000024</v>
      </c>
      <c r="B182">
        <v>1</v>
      </c>
      <c r="C182" t="s">
        <v>0</v>
      </c>
      <c r="D182">
        <v>5.97</v>
      </c>
      <c r="E182">
        <v>14</v>
      </c>
    </row>
    <row r="183" spans="1:5" x14ac:dyDescent="0.3">
      <c r="A183">
        <v>77010000047</v>
      </c>
      <c r="B183">
        <v>1</v>
      </c>
      <c r="C183" t="s">
        <v>0</v>
      </c>
      <c r="D183">
        <v>6.39</v>
      </c>
      <c r="E183">
        <v>15</v>
      </c>
    </row>
    <row r="184" spans="1:5" x14ac:dyDescent="0.3">
      <c r="A184">
        <v>77010000055</v>
      </c>
      <c r="B184">
        <v>1</v>
      </c>
      <c r="C184" t="s">
        <v>0</v>
      </c>
      <c r="D184">
        <v>6.39</v>
      </c>
      <c r="E184">
        <v>15</v>
      </c>
    </row>
    <row r="185" spans="1:5" x14ac:dyDescent="0.3">
      <c r="A185">
        <v>77010000056</v>
      </c>
      <c r="B185">
        <v>1</v>
      </c>
      <c r="C185" t="s">
        <v>0</v>
      </c>
      <c r="D185">
        <v>6.39</v>
      </c>
      <c r="E185">
        <v>15</v>
      </c>
    </row>
    <row r="186" spans="1:5" x14ac:dyDescent="0.3">
      <c r="A186">
        <v>77010000042</v>
      </c>
      <c r="B186">
        <v>1</v>
      </c>
      <c r="C186" t="s">
        <v>0</v>
      </c>
      <c r="D186">
        <v>6.39</v>
      </c>
      <c r="E186">
        <v>15</v>
      </c>
    </row>
    <row r="187" spans="1:5" x14ac:dyDescent="0.3">
      <c r="A187">
        <v>77010000055</v>
      </c>
      <c r="B187">
        <v>1</v>
      </c>
      <c r="C187" t="s">
        <v>0</v>
      </c>
      <c r="D187">
        <v>6.39</v>
      </c>
      <c r="E187">
        <v>15</v>
      </c>
    </row>
    <row r="188" spans="1:5" x14ac:dyDescent="0.3">
      <c r="A188">
        <v>77010000059</v>
      </c>
      <c r="B188">
        <v>1</v>
      </c>
      <c r="C188" t="s">
        <v>0</v>
      </c>
      <c r="D188">
        <v>6.39</v>
      </c>
      <c r="E188">
        <v>15</v>
      </c>
    </row>
    <row r="189" spans="1:5" x14ac:dyDescent="0.3">
      <c r="A189">
        <v>77010000080</v>
      </c>
      <c r="B189">
        <v>1</v>
      </c>
      <c r="C189" t="s">
        <v>0</v>
      </c>
      <c r="D189">
        <v>6.39</v>
      </c>
      <c r="E189">
        <v>15</v>
      </c>
    </row>
    <row r="190" spans="1:5" x14ac:dyDescent="0.3">
      <c r="A190">
        <v>77010000087</v>
      </c>
      <c r="B190">
        <v>1</v>
      </c>
      <c r="C190" t="s">
        <v>0</v>
      </c>
      <c r="D190">
        <v>6.39</v>
      </c>
      <c r="E190">
        <v>15</v>
      </c>
    </row>
    <row r="191" spans="1:5" x14ac:dyDescent="0.3">
      <c r="A191">
        <v>77010000096</v>
      </c>
      <c r="B191">
        <v>1</v>
      </c>
      <c r="C191" t="s">
        <v>0</v>
      </c>
      <c r="D191">
        <v>6.39</v>
      </c>
      <c r="E191">
        <v>15</v>
      </c>
    </row>
    <row r="192" spans="1:5" x14ac:dyDescent="0.3">
      <c r="A192">
        <v>77010000029</v>
      </c>
      <c r="B192">
        <v>1</v>
      </c>
      <c r="C192" t="s">
        <v>0</v>
      </c>
      <c r="D192">
        <v>6.39</v>
      </c>
      <c r="E192">
        <v>15</v>
      </c>
    </row>
    <row r="193" spans="1:5" x14ac:dyDescent="0.3">
      <c r="A193">
        <v>77010000021</v>
      </c>
      <c r="B193">
        <v>1</v>
      </c>
      <c r="C193" t="s">
        <v>0</v>
      </c>
      <c r="D193">
        <v>6.39</v>
      </c>
      <c r="E193">
        <v>15</v>
      </c>
    </row>
    <row r="194" spans="1:5" x14ac:dyDescent="0.3">
      <c r="A194">
        <v>77010000043</v>
      </c>
      <c r="B194">
        <v>1</v>
      </c>
      <c r="C194" t="s">
        <v>0</v>
      </c>
      <c r="D194">
        <v>6.39</v>
      </c>
      <c r="E194">
        <v>15</v>
      </c>
    </row>
    <row r="195" spans="1:5" x14ac:dyDescent="0.3">
      <c r="A195">
        <v>77010000072</v>
      </c>
      <c r="B195">
        <v>1</v>
      </c>
      <c r="C195" t="s">
        <v>0</v>
      </c>
      <c r="D195">
        <v>6.39</v>
      </c>
      <c r="E195">
        <v>15</v>
      </c>
    </row>
    <row r="196" spans="1:5" x14ac:dyDescent="0.3">
      <c r="A196">
        <v>77010000077</v>
      </c>
      <c r="B196">
        <v>1</v>
      </c>
      <c r="C196" t="s">
        <v>0</v>
      </c>
      <c r="D196">
        <v>6.39</v>
      </c>
      <c r="E196">
        <v>15</v>
      </c>
    </row>
    <row r="197" spans="1:5" x14ac:dyDescent="0.3">
      <c r="A197">
        <v>77010000049</v>
      </c>
      <c r="B197">
        <v>1</v>
      </c>
      <c r="C197" t="s">
        <v>0</v>
      </c>
      <c r="D197">
        <v>6.82</v>
      </c>
      <c r="E197">
        <v>16</v>
      </c>
    </row>
    <row r="198" spans="1:5" x14ac:dyDescent="0.3">
      <c r="A198">
        <v>77010000051</v>
      </c>
      <c r="B198">
        <v>1</v>
      </c>
      <c r="C198" t="s">
        <v>0</v>
      </c>
      <c r="D198">
        <v>6.82</v>
      </c>
      <c r="E198">
        <v>16</v>
      </c>
    </row>
    <row r="199" spans="1:5" x14ac:dyDescent="0.3">
      <c r="A199">
        <v>77010000071</v>
      </c>
      <c r="B199">
        <v>1</v>
      </c>
      <c r="C199" t="s">
        <v>0</v>
      </c>
      <c r="D199">
        <v>6.82</v>
      </c>
      <c r="E199">
        <v>16</v>
      </c>
    </row>
    <row r="200" spans="1:5" x14ac:dyDescent="0.3">
      <c r="A200">
        <v>77010000072</v>
      </c>
      <c r="B200">
        <v>1</v>
      </c>
      <c r="C200" t="s">
        <v>0</v>
      </c>
      <c r="D200">
        <v>6.82</v>
      </c>
      <c r="E200">
        <v>16</v>
      </c>
    </row>
    <row r="201" spans="1:5" x14ac:dyDescent="0.3">
      <c r="A201">
        <v>77010000028</v>
      </c>
      <c r="B201">
        <v>1</v>
      </c>
      <c r="C201" t="s">
        <v>0</v>
      </c>
      <c r="D201">
        <v>6.82</v>
      </c>
      <c r="E201">
        <v>16</v>
      </c>
    </row>
    <row r="202" spans="1:5" x14ac:dyDescent="0.3">
      <c r="A202">
        <v>77010000030</v>
      </c>
      <c r="B202">
        <v>1</v>
      </c>
      <c r="C202" t="s">
        <v>1</v>
      </c>
      <c r="D202">
        <v>14.87</v>
      </c>
      <c r="E202">
        <v>16</v>
      </c>
    </row>
    <row r="203" spans="1:5" x14ac:dyDescent="0.3">
      <c r="A203">
        <v>77010000032</v>
      </c>
      <c r="B203">
        <v>1</v>
      </c>
      <c r="C203" t="s">
        <v>0</v>
      </c>
      <c r="D203">
        <v>6.82</v>
      </c>
      <c r="E203">
        <v>16</v>
      </c>
    </row>
    <row r="204" spans="1:5" x14ac:dyDescent="0.3">
      <c r="A204">
        <v>77010000004</v>
      </c>
      <c r="B204">
        <v>1</v>
      </c>
      <c r="C204" t="s">
        <v>0</v>
      </c>
      <c r="D204">
        <v>6.82</v>
      </c>
      <c r="E204">
        <v>16</v>
      </c>
    </row>
    <row r="205" spans="1:5" x14ac:dyDescent="0.3">
      <c r="A205">
        <v>77010000027</v>
      </c>
      <c r="B205">
        <v>1</v>
      </c>
      <c r="C205" t="s">
        <v>0</v>
      </c>
      <c r="D205">
        <v>6.82</v>
      </c>
      <c r="E205">
        <v>16</v>
      </c>
    </row>
    <row r="206" spans="1:5" x14ac:dyDescent="0.3">
      <c r="A206">
        <v>77010000084</v>
      </c>
      <c r="B206">
        <v>1</v>
      </c>
      <c r="C206" t="s">
        <v>0</v>
      </c>
      <c r="D206">
        <v>6.82</v>
      </c>
      <c r="E206">
        <v>16</v>
      </c>
    </row>
    <row r="207" spans="1:5" x14ac:dyDescent="0.3">
      <c r="A207">
        <v>77010000053</v>
      </c>
      <c r="B207">
        <v>1</v>
      </c>
      <c r="C207" t="s">
        <v>0</v>
      </c>
      <c r="D207">
        <v>7.25</v>
      </c>
      <c r="E207">
        <v>17</v>
      </c>
    </row>
    <row r="208" spans="1:5" x14ac:dyDescent="0.3">
      <c r="A208">
        <v>77010000001</v>
      </c>
      <c r="B208">
        <v>1</v>
      </c>
      <c r="C208" t="s">
        <v>1</v>
      </c>
      <c r="D208">
        <v>14.87</v>
      </c>
      <c r="E208">
        <v>17</v>
      </c>
    </row>
    <row r="209" spans="1:5" x14ac:dyDescent="0.3">
      <c r="A209">
        <v>77010000008</v>
      </c>
      <c r="B209">
        <v>1</v>
      </c>
      <c r="C209" t="s">
        <v>2</v>
      </c>
      <c r="D209">
        <v>14.87</v>
      </c>
      <c r="E209">
        <v>17</v>
      </c>
    </row>
    <row r="210" spans="1:5" x14ac:dyDescent="0.3">
      <c r="A210">
        <v>77010000019</v>
      </c>
      <c r="B210">
        <v>1</v>
      </c>
      <c r="C210" t="s">
        <v>0</v>
      </c>
      <c r="D210">
        <v>7.25</v>
      </c>
      <c r="E210">
        <v>17</v>
      </c>
    </row>
    <row r="211" spans="1:5" x14ac:dyDescent="0.3">
      <c r="A211">
        <v>77010000038</v>
      </c>
      <c r="B211">
        <v>1</v>
      </c>
      <c r="C211" t="s">
        <v>0</v>
      </c>
      <c r="D211">
        <v>7.25</v>
      </c>
      <c r="E211">
        <v>17</v>
      </c>
    </row>
    <row r="212" spans="1:5" x14ac:dyDescent="0.3">
      <c r="A212">
        <v>77010000028</v>
      </c>
      <c r="B212">
        <v>1</v>
      </c>
      <c r="C212" t="s">
        <v>0</v>
      </c>
      <c r="D212">
        <v>7.25</v>
      </c>
      <c r="E212">
        <v>17</v>
      </c>
    </row>
    <row r="213" spans="1:5" x14ac:dyDescent="0.3">
      <c r="A213">
        <v>77010000037</v>
      </c>
      <c r="B213">
        <v>1</v>
      </c>
      <c r="C213" t="s">
        <v>0</v>
      </c>
      <c r="D213">
        <v>7.25</v>
      </c>
      <c r="E213">
        <v>17</v>
      </c>
    </row>
    <row r="214" spans="1:5" x14ac:dyDescent="0.3">
      <c r="A214">
        <v>77010000079</v>
      </c>
      <c r="B214">
        <v>1</v>
      </c>
      <c r="C214" t="s">
        <v>2</v>
      </c>
      <c r="D214">
        <v>14.87</v>
      </c>
      <c r="E214">
        <v>18</v>
      </c>
    </row>
    <row r="215" spans="1:5" x14ac:dyDescent="0.3">
      <c r="A215">
        <v>77010000024</v>
      </c>
      <c r="B215">
        <v>1</v>
      </c>
      <c r="C215" t="s">
        <v>0</v>
      </c>
      <c r="D215">
        <v>7.67</v>
      </c>
      <c r="E215">
        <v>18</v>
      </c>
    </row>
    <row r="216" spans="1:5" x14ac:dyDescent="0.3">
      <c r="A216">
        <v>77010000041</v>
      </c>
      <c r="B216">
        <v>1</v>
      </c>
      <c r="C216" t="s">
        <v>0</v>
      </c>
      <c r="D216">
        <v>7.67</v>
      </c>
      <c r="E216">
        <v>18</v>
      </c>
    </row>
    <row r="217" spans="1:5" x14ac:dyDescent="0.3">
      <c r="A217">
        <v>77010000022</v>
      </c>
      <c r="B217">
        <v>1</v>
      </c>
      <c r="C217" t="s">
        <v>0</v>
      </c>
      <c r="D217">
        <v>7.67</v>
      </c>
      <c r="E217">
        <v>18</v>
      </c>
    </row>
    <row r="218" spans="1:5" x14ac:dyDescent="0.3">
      <c r="A218">
        <v>77010000033</v>
      </c>
      <c r="B218">
        <v>1</v>
      </c>
      <c r="C218" t="s">
        <v>1</v>
      </c>
      <c r="D218">
        <v>14.87</v>
      </c>
      <c r="E218">
        <v>18</v>
      </c>
    </row>
    <row r="219" spans="1:5" x14ac:dyDescent="0.3">
      <c r="A219">
        <v>77010000058</v>
      </c>
      <c r="B219">
        <v>1</v>
      </c>
      <c r="C219" t="s">
        <v>0</v>
      </c>
      <c r="D219">
        <v>7.67</v>
      </c>
      <c r="E219">
        <v>18</v>
      </c>
    </row>
    <row r="220" spans="1:5" x14ac:dyDescent="0.3">
      <c r="A220">
        <v>77010000062</v>
      </c>
      <c r="B220">
        <v>1</v>
      </c>
      <c r="C220" t="s">
        <v>0</v>
      </c>
      <c r="D220">
        <v>8.1</v>
      </c>
      <c r="E220">
        <v>19</v>
      </c>
    </row>
    <row r="221" spans="1:5" x14ac:dyDescent="0.3">
      <c r="A221">
        <v>77010000069</v>
      </c>
      <c r="B221">
        <v>1</v>
      </c>
      <c r="C221" t="s">
        <v>4</v>
      </c>
      <c r="D221">
        <v>14.01</v>
      </c>
      <c r="E221">
        <v>19</v>
      </c>
    </row>
    <row r="222" spans="1:5" x14ac:dyDescent="0.3">
      <c r="A222">
        <v>77010000070</v>
      </c>
      <c r="B222">
        <v>1</v>
      </c>
      <c r="C222" t="s">
        <v>4</v>
      </c>
      <c r="D222">
        <v>0</v>
      </c>
      <c r="E222">
        <v>19</v>
      </c>
    </row>
    <row r="223" spans="1:5" x14ac:dyDescent="0.3">
      <c r="A223">
        <v>77010000054</v>
      </c>
      <c r="B223">
        <v>1</v>
      </c>
      <c r="C223" t="s">
        <v>0</v>
      </c>
      <c r="D223">
        <v>8.1</v>
      </c>
      <c r="E223">
        <v>19</v>
      </c>
    </row>
    <row r="224" spans="1:5" x14ac:dyDescent="0.3">
      <c r="A224">
        <v>77010000010</v>
      </c>
      <c r="B224">
        <v>1</v>
      </c>
      <c r="C224" t="s">
        <v>0</v>
      </c>
      <c r="D224">
        <v>8.52</v>
      </c>
      <c r="E224">
        <v>20</v>
      </c>
    </row>
    <row r="225" spans="1:5" x14ac:dyDescent="0.3">
      <c r="A225">
        <v>77010000012</v>
      </c>
      <c r="B225">
        <v>1</v>
      </c>
      <c r="C225" t="s">
        <v>4</v>
      </c>
      <c r="D225">
        <v>0</v>
      </c>
      <c r="E225">
        <v>20</v>
      </c>
    </row>
    <row r="226" spans="1:5" x14ac:dyDescent="0.3">
      <c r="A226">
        <v>77010000026</v>
      </c>
      <c r="B226">
        <v>1</v>
      </c>
      <c r="C226" t="s">
        <v>0</v>
      </c>
      <c r="D226">
        <v>8.52</v>
      </c>
      <c r="E226">
        <v>20</v>
      </c>
    </row>
    <row r="227" spans="1:5" x14ac:dyDescent="0.3">
      <c r="A227">
        <v>77010000035</v>
      </c>
      <c r="B227">
        <v>1</v>
      </c>
      <c r="C227" t="s">
        <v>0</v>
      </c>
      <c r="D227">
        <v>8.52</v>
      </c>
      <c r="E227">
        <v>20</v>
      </c>
    </row>
    <row r="228" spans="1:5" x14ac:dyDescent="0.3">
      <c r="A228">
        <v>77010000077</v>
      </c>
      <c r="B228">
        <v>1</v>
      </c>
      <c r="C228" t="s">
        <v>0</v>
      </c>
      <c r="D228">
        <v>8.52</v>
      </c>
      <c r="E228">
        <v>20</v>
      </c>
    </row>
    <row r="229" spans="1:5" x14ac:dyDescent="0.3">
      <c r="A229">
        <v>77010000094</v>
      </c>
      <c r="B229">
        <v>1</v>
      </c>
      <c r="C229" t="s">
        <v>0</v>
      </c>
      <c r="D229">
        <v>8.9499999999999993</v>
      </c>
      <c r="E229">
        <v>21</v>
      </c>
    </row>
    <row r="230" spans="1:5" x14ac:dyDescent="0.3">
      <c r="A230">
        <v>77010000013</v>
      </c>
      <c r="B230">
        <v>1</v>
      </c>
      <c r="C230" t="s">
        <v>0</v>
      </c>
      <c r="D230">
        <v>8.9499999999999993</v>
      </c>
      <c r="E230">
        <v>21</v>
      </c>
    </row>
    <row r="231" spans="1:5" x14ac:dyDescent="0.3">
      <c r="A231">
        <v>77010000005</v>
      </c>
      <c r="B231">
        <v>1</v>
      </c>
      <c r="C231" t="s">
        <v>2</v>
      </c>
      <c r="D231">
        <v>22.3</v>
      </c>
      <c r="E231">
        <v>21</v>
      </c>
    </row>
    <row r="232" spans="1:5" x14ac:dyDescent="0.3">
      <c r="A232">
        <v>77010000059</v>
      </c>
      <c r="B232">
        <v>1</v>
      </c>
      <c r="C232" t="s">
        <v>0</v>
      </c>
      <c r="D232">
        <v>8.9499999999999993</v>
      </c>
      <c r="E232">
        <v>21</v>
      </c>
    </row>
    <row r="233" spans="1:5" x14ac:dyDescent="0.3">
      <c r="A233">
        <v>77010000082</v>
      </c>
      <c r="B233">
        <v>1</v>
      </c>
      <c r="C233" t="s">
        <v>0</v>
      </c>
      <c r="D233">
        <v>8.9499999999999993</v>
      </c>
      <c r="E233">
        <v>21</v>
      </c>
    </row>
    <row r="234" spans="1:5" x14ac:dyDescent="0.3">
      <c r="A234">
        <v>77010000091</v>
      </c>
      <c r="B234">
        <v>1</v>
      </c>
      <c r="C234" t="s">
        <v>0</v>
      </c>
      <c r="D234">
        <v>9.3800000000000008</v>
      </c>
      <c r="E234">
        <v>22</v>
      </c>
    </row>
    <row r="235" spans="1:5" x14ac:dyDescent="0.3">
      <c r="A235">
        <v>77010000036</v>
      </c>
      <c r="B235">
        <v>1</v>
      </c>
      <c r="C235" t="s">
        <v>0</v>
      </c>
      <c r="D235">
        <v>9.3800000000000008</v>
      </c>
      <c r="E235">
        <v>22</v>
      </c>
    </row>
    <row r="236" spans="1:5" x14ac:dyDescent="0.3">
      <c r="A236">
        <v>77010000044</v>
      </c>
      <c r="B236">
        <v>1</v>
      </c>
      <c r="C236" t="s">
        <v>0</v>
      </c>
      <c r="D236">
        <v>2.5</v>
      </c>
      <c r="E236">
        <v>22</v>
      </c>
    </row>
    <row r="237" spans="1:5" x14ac:dyDescent="0.3">
      <c r="A237">
        <v>77010000020</v>
      </c>
      <c r="B237">
        <v>1</v>
      </c>
      <c r="C237" t="s">
        <v>0</v>
      </c>
      <c r="D237">
        <v>9.3800000000000008</v>
      </c>
      <c r="E237">
        <v>22</v>
      </c>
    </row>
    <row r="238" spans="1:5" x14ac:dyDescent="0.3">
      <c r="A238">
        <v>77010000083</v>
      </c>
      <c r="B238">
        <v>1</v>
      </c>
      <c r="C238" t="s">
        <v>0</v>
      </c>
      <c r="D238">
        <v>9.3800000000000008</v>
      </c>
      <c r="E238">
        <v>22</v>
      </c>
    </row>
    <row r="239" spans="1:5" x14ac:dyDescent="0.3">
      <c r="A239">
        <v>77010000061</v>
      </c>
      <c r="B239">
        <v>1</v>
      </c>
      <c r="C239" t="s">
        <v>0</v>
      </c>
      <c r="D239">
        <v>9.8000000000000007</v>
      </c>
      <c r="E239">
        <v>23</v>
      </c>
    </row>
    <row r="240" spans="1:5" x14ac:dyDescent="0.3">
      <c r="A240">
        <v>77010000015</v>
      </c>
      <c r="B240">
        <v>1</v>
      </c>
      <c r="C240" t="s">
        <v>0</v>
      </c>
      <c r="D240">
        <v>9.8000000000000007</v>
      </c>
      <c r="E240">
        <v>23</v>
      </c>
    </row>
    <row r="241" spans="1:5" x14ac:dyDescent="0.3">
      <c r="A241">
        <v>77010000025</v>
      </c>
      <c r="B241">
        <v>1</v>
      </c>
      <c r="C241" t="s">
        <v>0</v>
      </c>
      <c r="D241">
        <v>9.8000000000000007</v>
      </c>
      <c r="E241">
        <v>23</v>
      </c>
    </row>
    <row r="242" spans="1:5" x14ac:dyDescent="0.3">
      <c r="A242">
        <v>77010000007</v>
      </c>
      <c r="B242">
        <v>1</v>
      </c>
      <c r="C242" t="s">
        <v>0</v>
      </c>
      <c r="D242">
        <v>10.23</v>
      </c>
      <c r="E242">
        <v>24</v>
      </c>
    </row>
    <row r="243" spans="1:5" x14ac:dyDescent="0.3">
      <c r="A243">
        <v>77010000041</v>
      </c>
      <c r="B243">
        <v>1</v>
      </c>
      <c r="C243" t="s">
        <v>0</v>
      </c>
      <c r="D243">
        <v>10.23</v>
      </c>
      <c r="E243">
        <v>24</v>
      </c>
    </row>
    <row r="244" spans="1:5" x14ac:dyDescent="0.3">
      <c r="A244">
        <v>77010000050</v>
      </c>
      <c r="B244">
        <v>1</v>
      </c>
      <c r="C244" t="s">
        <v>0</v>
      </c>
      <c r="D244">
        <v>10.23</v>
      </c>
      <c r="E244">
        <v>24</v>
      </c>
    </row>
    <row r="245" spans="1:5" x14ac:dyDescent="0.3">
      <c r="A245">
        <v>77010000075</v>
      </c>
      <c r="B245">
        <v>1</v>
      </c>
      <c r="C245" t="s">
        <v>0</v>
      </c>
      <c r="D245">
        <v>10.66</v>
      </c>
      <c r="E245">
        <v>25</v>
      </c>
    </row>
    <row r="246" spans="1:5" x14ac:dyDescent="0.3">
      <c r="A246">
        <v>77010000081</v>
      </c>
      <c r="B246">
        <v>1</v>
      </c>
      <c r="C246" t="s">
        <v>1</v>
      </c>
      <c r="D246">
        <v>22.3</v>
      </c>
      <c r="E246">
        <v>26</v>
      </c>
    </row>
    <row r="247" spans="1:5" x14ac:dyDescent="0.3">
      <c r="A247">
        <v>77010000077</v>
      </c>
      <c r="B247">
        <v>1</v>
      </c>
      <c r="C247" t="s">
        <v>0</v>
      </c>
      <c r="D247">
        <v>11.08</v>
      </c>
      <c r="E247">
        <v>26</v>
      </c>
    </row>
    <row r="248" spans="1:5" x14ac:dyDescent="0.3">
      <c r="A248">
        <v>77010000003</v>
      </c>
      <c r="B248">
        <v>1</v>
      </c>
      <c r="C248" t="s">
        <v>1</v>
      </c>
      <c r="D248">
        <v>22.3</v>
      </c>
      <c r="E248">
        <v>27</v>
      </c>
    </row>
    <row r="249" spans="1:5" x14ac:dyDescent="0.3">
      <c r="A249">
        <v>77010000015</v>
      </c>
      <c r="B249">
        <v>1</v>
      </c>
      <c r="C249" t="s">
        <v>0</v>
      </c>
      <c r="D249">
        <v>11.51</v>
      </c>
      <c r="E249">
        <v>27</v>
      </c>
    </row>
    <row r="250" spans="1:5" x14ac:dyDescent="0.3">
      <c r="A250">
        <v>77010000030</v>
      </c>
      <c r="B250">
        <v>1</v>
      </c>
      <c r="C250" t="s">
        <v>0</v>
      </c>
      <c r="D250">
        <v>11.51</v>
      </c>
      <c r="E250">
        <v>27</v>
      </c>
    </row>
    <row r="251" spans="1:5" x14ac:dyDescent="0.3">
      <c r="A251">
        <v>77010000055</v>
      </c>
      <c r="B251">
        <v>1</v>
      </c>
      <c r="C251" t="s">
        <v>0</v>
      </c>
      <c r="D251">
        <v>11.51</v>
      </c>
      <c r="E251">
        <v>27</v>
      </c>
    </row>
    <row r="252" spans="1:5" x14ac:dyDescent="0.3">
      <c r="A252">
        <v>77010000083</v>
      </c>
      <c r="B252">
        <v>1</v>
      </c>
      <c r="C252" t="s">
        <v>0</v>
      </c>
      <c r="D252">
        <v>11.51</v>
      </c>
      <c r="E252">
        <v>27</v>
      </c>
    </row>
    <row r="253" spans="1:5" x14ac:dyDescent="0.3">
      <c r="A253">
        <v>77010000047</v>
      </c>
      <c r="B253">
        <v>1</v>
      </c>
      <c r="C253" t="s">
        <v>0</v>
      </c>
      <c r="D253">
        <v>11.93</v>
      </c>
      <c r="E253">
        <v>28</v>
      </c>
    </row>
    <row r="254" spans="1:5" x14ac:dyDescent="0.3">
      <c r="A254">
        <v>77010000080</v>
      </c>
      <c r="B254">
        <v>1</v>
      </c>
      <c r="C254" t="s">
        <v>0</v>
      </c>
      <c r="D254">
        <v>11.93</v>
      </c>
      <c r="E254">
        <v>28</v>
      </c>
    </row>
    <row r="255" spans="1:5" x14ac:dyDescent="0.3">
      <c r="A255">
        <v>77010000019</v>
      </c>
      <c r="B255">
        <v>1</v>
      </c>
      <c r="C255" t="s">
        <v>0</v>
      </c>
      <c r="D255">
        <v>14.06</v>
      </c>
      <c r="E255">
        <v>33</v>
      </c>
    </row>
    <row r="256" spans="1:5" x14ac:dyDescent="0.3">
      <c r="A256">
        <v>77010000112</v>
      </c>
      <c r="B256">
        <v>2</v>
      </c>
      <c r="C256" t="s">
        <v>0</v>
      </c>
      <c r="D256">
        <v>0.43</v>
      </c>
      <c r="E256">
        <v>1</v>
      </c>
    </row>
    <row r="257" spans="1:5" x14ac:dyDescent="0.3">
      <c r="A257">
        <v>77010000114</v>
      </c>
      <c r="B257">
        <v>2</v>
      </c>
      <c r="C257" t="s">
        <v>0</v>
      </c>
      <c r="D257">
        <v>0.43</v>
      </c>
      <c r="E257">
        <v>1</v>
      </c>
    </row>
    <row r="258" spans="1:5" x14ac:dyDescent="0.3">
      <c r="A258">
        <v>77010000118</v>
      </c>
      <c r="B258">
        <v>2</v>
      </c>
      <c r="C258" t="s">
        <v>0</v>
      </c>
      <c r="D258">
        <v>0.43</v>
      </c>
      <c r="E258">
        <v>1</v>
      </c>
    </row>
    <row r="259" spans="1:5" x14ac:dyDescent="0.3">
      <c r="A259">
        <v>77010000120</v>
      </c>
      <c r="B259">
        <v>2</v>
      </c>
      <c r="C259" t="s">
        <v>0</v>
      </c>
      <c r="D259">
        <v>0.43</v>
      </c>
      <c r="E259">
        <v>1</v>
      </c>
    </row>
    <row r="260" spans="1:5" x14ac:dyDescent="0.3">
      <c r="A260">
        <v>77010000115</v>
      </c>
      <c r="B260">
        <v>2</v>
      </c>
      <c r="C260" t="s">
        <v>0</v>
      </c>
      <c r="D260">
        <v>1.28</v>
      </c>
      <c r="E260">
        <v>3</v>
      </c>
    </row>
    <row r="261" spans="1:5" x14ac:dyDescent="0.3">
      <c r="A261">
        <v>77010000121</v>
      </c>
      <c r="B261">
        <v>2</v>
      </c>
      <c r="C261" t="s">
        <v>0</v>
      </c>
      <c r="D261">
        <v>1.28</v>
      </c>
      <c r="E261">
        <v>3</v>
      </c>
    </row>
    <row r="262" spans="1:5" x14ac:dyDescent="0.3">
      <c r="A262">
        <v>77010000125</v>
      </c>
      <c r="B262">
        <v>2</v>
      </c>
      <c r="C262" t="s">
        <v>0</v>
      </c>
      <c r="D262">
        <v>1.28</v>
      </c>
      <c r="E262">
        <v>3</v>
      </c>
    </row>
    <row r="263" spans="1:5" x14ac:dyDescent="0.3">
      <c r="A263">
        <v>77010000103</v>
      </c>
      <c r="B263">
        <v>2</v>
      </c>
      <c r="C263" t="s">
        <v>0</v>
      </c>
      <c r="D263">
        <v>1.28</v>
      </c>
      <c r="E263">
        <v>3</v>
      </c>
    </row>
    <row r="264" spans="1:5" x14ac:dyDescent="0.3">
      <c r="A264">
        <v>77010000125</v>
      </c>
      <c r="B264">
        <v>2</v>
      </c>
      <c r="C264" t="s">
        <v>0</v>
      </c>
      <c r="D264">
        <v>1.7</v>
      </c>
      <c r="E264">
        <v>4</v>
      </c>
    </row>
    <row r="265" spans="1:5" x14ac:dyDescent="0.3">
      <c r="A265">
        <v>77010000120</v>
      </c>
      <c r="B265">
        <v>2</v>
      </c>
      <c r="C265" t="s">
        <v>0</v>
      </c>
      <c r="D265">
        <v>2.13</v>
      </c>
      <c r="E265">
        <v>5</v>
      </c>
    </row>
    <row r="266" spans="1:5" x14ac:dyDescent="0.3">
      <c r="A266">
        <v>77010000110</v>
      </c>
      <c r="B266">
        <v>2</v>
      </c>
      <c r="C266" t="s">
        <v>0</v>
      </c>
      <c r="D266">
        <v>2.98</v>
      </c>
      <c r="E266">
        <v>7</v>
      </c>
    </row>
    <row r="267" spans="1:5" x14ac:dyDescent="0.3">
      <c r="A267">
        <v>77010000128</v>
      </c>
      <c r="B267">
        <v>2</v>
      </c>
      <c r="C267" t="s">
        <v>0</v>
      </c>
      <c r="D267">
        <v>2.98</v>
      </c>
      <c r="E267">
        <v>7</v>
      </c>
    </row>
    <row r="268" spans="1:5" x14ac:dyDescent="0.3">
      <c r="A268">
        <v>77010000126</v>
      </c>
      <c r="B268">
        <v>2</v>
      </c>
      <c r="C268" t="s">
        <v>0</v>
      </c>
      <c r="D268">
        <v>2.98</v>
      </c>
      <c r="E268">
        <v>7</v>
      </c>
    </row>
    <row r="269" spans="1:5" x14ac:dyDescent="0.3">
      <c r="A269">
        <v>77010000127</v>
      </c>
      <c r="B269">
        <v>2</v>
      </c>
      <c r="C269" t="s">
        <v>1</v>
      </c>
      <c r="D269">
        <v>7.84</v>
      </c>
      <c r="E269">
        <v>7</v>
      </c>
    </row>
    <row r="270" spans="1:5" x14ac:dyDescent="0.3">
      <c r="A270">
        <v>77010000100</v>
      </c>
      <c r="B270">
        <v>2</v>
      </c>
      <c r="C270" t="s">
        <v>0</v>
      </c>
      <c r="D270">
        <v>2.98</v>
      </c>
      <c r="E270">
        <v>7</v>
      </c>
    </row>
    <row r="271" spans="1:5" x14ac:dyDescent="0.3">
      <c r="A271">
        <v>77010000102</v>
      </c>
      <c r="B271">
        <v>2</v>
      </c>
      <c r="C271" t="s">
        <v>0</v>
      </c>
      <c r="D271">
        <v>2.98</v>
      </c>
      <c r="E271">
        <v>7</v>
      </c>
    </row>
    <row r="272" spans="1:5" x14ac:dyDescent="0.3">
      <c r="A272">
        <v>77010000124</v>
      </c>
      <c r="B272">
        <v>2</v>
      </c>
      <c r="C272" t="s">
        <v>0</v>
      </c>
      <c r="D272">
        <v>3.41</v>
      </c>
      <c r="E272">
        <v>8</v>
      </c>
    </row>
    <row r="273" spans="1:5" x14ac:dyDescent="0.3">
      <c r="A273">
        <v>77010000111</v>
      </c>
      <c r="B273">
        <v>2</v>
      </c>
      <c r="C273" t="s">
        <v>0</v>
      </c>
      <c r="D273">
        <v>3.84</v>
      </c>
      <c r="E273">
        <v>9</v>
      </c>
    </row>
    <row r="274" spans="1:5" x14ac:dyDescent="0.3">
      <c r="A274">
        <v>77010000129</v>
      </c>
      <c r="B274">
        <v>2</v>
      </c>
      <c r="C274" t="s">
        <v>0</v>
      </c>
      <c r="D274">
        <v>3.84</v>
      </c>
      <c r="E274">
        <v>9</v>
      </c>
    </row>
    <row r="275" spans="1:5" x14ac:dyDescent="0.3">
      <c r="A275">
        <v>77010000110</v>
      </c>
      <c r="B275">
        <v>2</v>
      </c>
      <c r="C275" t="s">
        <v>0</v>
      </c>
      <c r="D275">
        <v>3.84</v>
      </c>
      <c r="E275">
        <v>9</v>
      </c>
    </row>
    <row r="276" spans="1:5" x14ac:dyDescent="0.3">
      <c r="A276">
        <v>77010000128</v>
      </c>
      <c r="B276">
        <v>2</v>
      </c>
      <c r="C276" t="s">
        <v>0</v>
      </c>
      <c r="D276">
        <v>4.26</v>
      </c>
      <c r="E276">
        <v>10</v>
      </c>
    </row>
    <row r="277" spans="1:5" x14ac:dyDescent="0.3">
      <c r="A277">
        <v>77010000120</v>
      </c>
      <c r="B277">
        <v>2</v>
      </c>
      <c r="C277" t="s">
        <v>0</v>
      </c>
      <c r="D277">
        <v>4.26</v>
      </c>
      <c r="E277">
        <v>10</v>
      </c>
    </row>
    <row r="278" spans="1:5" x14ac:dyDescent="0.3">
      <c r="A278">
        <v>77010000098</v>
      </c>
      <c r="B278">
        <v>2</v>
      </c>
      <c r="C278" t="s">
        <v>0</v>
      </c>
      <c r="D278">
        <v>2.2799999999999998</v>
      </c>
      <c r="E278">
        <v>10</v>
      </c>
    </row>
    <row r="279" spans="1:5" x14ac:dyDescent="0.3">
      <c r="A279">
        <v>77010000104</v>
      </c>
      <c r="B279">
        <v>2</v>
      </c>
      <c r="C279" t="s">
        <v>0</v>
      </c>
      <c r="D279">
        <v>4.26</v>
      </c>
      <c r="E279">
        <v>10</v>
      </c>
    </row>
    <row r="280" spans="1:5" x14ac:dyDescent="0.3">
      <c r="A280">
        <v>77010000127</v>
      </c>
      <c r="B280">
        <v>2</v>
      </c>
      <c r="C280" t="s">
        <v>1</v>
      </c>
      <c r="D280">
        <v>15.68</v>
      </c>
      <c r="E280">
        <v>13</v>
      </c>
    </row>
    <row r="281" spans="1:5" x14ac:dyDescent="0.3">
      <c r="A281">
        <v>77010000129</v>
      </c>
      <c r="B281">
        <v>2</v>
      </c>
      <c r="C281" t="s">
        <v>0</v>
      </c>
      <c r="D281">
        <v>5.54</v>
      </c>
      <c r="E281">
        <v>13</v>
      </c>
    </row>
    <row r="282" spans="1:5" x14ac:dyDescent="0.3">
      <c r="A282">
        <v>77010000106</v>
      </c>
      <c r="B282">
        <v>2</v>
      </c>
      <c r="C282" t="s">
        <v>0</v>
      </c>
      <c r="D282">
        <v>5.97</v>
      </c>
      <c r="E282">
        <v>14</v>
      </c>
    </row>
    <row r="283" spans="1:5" x14ac:dyDescent="0.3">
      <c r="A283">
        <v>77010000107</v>
      </c>
      <c r="B283">
        <v>2</v>
      </c>
      <c r="C283" t="s">
        <v>0</v>
      </c>
      <c r="D283">
        <v>5.97</v>
      </c>
      <c r="E283">
        <v>14</v>
      </c>
    </row>
    <row r="284" spans="1:5" x14ac:dyDescent="0.3">
      <c r="A284">
        <v>77010000105</v>
      </c>
      <c r="B284">
        <v>2</v>
      </c>
      <c r="C284" t="s">
        <v>0</v>
      </c>
      <c r="D284">
        <v>5.97</v>
      </c>
      <c r="E284">
        <v>14</v>
      </c>
    </row>
    <row r="285" spans="1:5" x14ac:dyDescent="0.3">
      <c r="A285">
        <v>77010000117</v>
      </c>
      <c r="B285">
        <v>2</v>
      </c>
      <c r="C285" t="s">
        <v>0</v>
      </c>
      <c r="D285">
        <v>7.25</v>
      </c>
      <c r="E285">
        <v>17</v>
      </c>
    </row>
    <row r="286" spans="1:5" x14ac:dyDescent="0.3">
      <c r="A286">
        <v>77010000123</v>
      </c>
      <c r="B286">
        <v>2</v>
      </c>
      <c r="C286" t="s">
        <v>0</v>
      </c>
      <c r="D286">
        <v>7.25</v>
      </c>
      <c r="E286">
        <v>17</v>
      </c>
    </row>
    <row r="287" spans="1:5" x14ac:dyDescent="0.3">
      <c r="A287">
        <v>77010000127</v>
      </c>
      <c r="B287">
        <v>2</v>
      </c>
      <c r="C287" t="s">
        <v>1</v>
      </c>
      <c r="D287">
        <v>15.68</v>
      </c>
      <c r="E287">
        <v>17</v>
      </c>
    </row>
    <row r="288" spans="1:5" x14ac:dyDescent="0.3">
      <c r="A288">
        <v>77010000105</v>
      </c>
      <c r="B288">
        <v>2</v>
      </c>
      <c r="C288" t="s">
        <v>0</v>
      </c>
      <c r="D288">
        <v>7.67</v>
      </c>
      <c r="E288">
        <v>18</v>
      </c>
    </row>
    <row r="289" spans="1:5" x14ac:dyDescent="0.3">
      <c r="A289">
        <v>77010000113</v>
      </c>
      <c r="B289">
        <v>2</v>
      </c>
      <c r="C289" t="s">
        <v>0</v>
      </c>
      <c r="D289">
        <v>4.33</v>
      </c>
      <c r="E289">
        <v>19</v>
      </c>
    </row>
    <row r="290" spans="1:5" x14ac:dyDescent="0.3">
      <c r="A290">
        <v>77010000119</v>
      </c>
      <c r="B290">
        <v>2</v>
      </c>
      <c r="C290" t="s">
        <v>0</v>
      </c>
      <c r="D290">
        <v>4.33</v>
      </c>
      <c r="E290">
        <v>19</v>
      </c>
    </row>
    <row r="291" spans="1:5" x14ac:dyDescent="0.3">
      <c r="A291">
        <v>77010000126</v>
      </c>
      <c r="B291">
        <v>2</v>
      </c>
      <c r="C291" t="s">
        <v>0</v>
      </c>
      <c r="D291">
        <v>8.1</v>
      </c>
      <c r="E291">
        <v>19</v>
      </c>
    </row>
    <row r="292" spans="1:5" x14ac:dyDescent="0.3">
      <c r="A292">
        <v>77010000128</v>
      </c>
      <c r="B292">
        <v>2</v>
      </c>
      <c r="C292" t="s">
        <v>0</v>
      </c>
      <c r="D292">
        <v>4.33</v>
      </c>
      <c r="E292">
        <v>19</v>
      </c>
    </row>
    <row r="293" spans="1:5" x14ac:dyDescent="0.3">
      <c r="A293">
        <v>77010000125</v>
      </c>
      <c r="B293">
        <v>2</v>
      </c>
      <c r="C293" t="s">
        <v>0</v>
      </c>
      <c r="D293">
        <v>5.0199999999999996</v>
      </c>
      <c r="E293">
        <v>22</v>
      </c>
    </row>
    <row r="294" spans="1:5" x14ac:dyDescent="0.3">
      <c r="A294">
        <v>77010000124</v>
      </c>
      <c r="B294">
        <v>2</v>
      </c>
      <c r="C294" t="s">
        <v>0</v>
      </c>
      <c r="D294">
        <v>9.3800000000000008</v>
      </c>
      <c r="E294">
        <v>22</v>
      </c>
    </row>
    <row r="295" spans="1:5" x14ac:dyDescent="0.3">
      <c r="A295">
        <v>77010000116</v>
      </c>
      <c r="B295">
        <v>2</v>
      </c>
      <c r="C295" t="s">
        <v>0</v>
      </c>
      <c r="D295">
        <v>10.23</v>
      </c>
      <c r="E295">
        <v>24</v>
      </c>
    </row>
    <row r="296" spans="1:5" x14ac:dyDescent="0.3">
      <c r="A296">
        <v>77010000122</v>
      </c>
      <c r="B296">
        <v>2</v>
      </c>
      <c r="C296" t="s">
        <v>0</v>
      </c>
      <c r="D296">
        <v>10.23</v>
      </c>
      <c r="E296">
        <v>24</v>
      </c>
    </row>
    <row r="297" spans="1:5" x14ac:dyDescent="0.3">
      <c r="A297">
        <v>77010000123</v>
      </c>
      <c r="B297">
        <v>2</v>
      </c>
      <c r="C297" t="s">
        <v>0</v>
      </c>
      <c r="D297">
        <v>5.47</v>
      </c>
      <c r="E297">
        <v>24</v>
      </c>
    </row>
    <row r="298" spans="1:5" x14ac:dyDescent="0.3">
      <c r="A298">
        <v>77010000106</v>
      </c>
      <c r="B298">
        <v>2</v>
      </c>
      <c r="C298" t="s">
        <v>2</v>
      </c>
      <c r="D298">
        <v>23.52</v>
      </c>
      <c r="E298">
        <v>26</v>
      </c>
    </row>
    <row r="299" spans="1:5" x14ac:dyDescent="0.3">
      <c r="A299">
        <v>77010000121</v>
      </c>
      <c r="B299">
        <v>2</v>
      </c>
      <c r="C299" t="s">
        <v>0</v>
      </c>
      <c r="D299">
        <v>6.38</v>
      </c>
      <c r="E299">
        <v>28</v>
      </c>
    </row>
    <row r="300" spans="1:5" x14ac:dyDescent="0.3">
      <c r="A300">
        <v>77010000109</v>
      </c>
      <c r="B300">
        <v>2</v>
      </c>
      <c r="C300" t="s">
        <v>0</v>
      </c>
      <c r="D300">
        <v>13.21</v>
      </c>
      <c r="E300">
        <v>31</v>
      </c>
    </row>
    <row r="301" spans="1:5" x14ac:dyDescent="0.3">
      <c r="A301">
        <v>77010000124</v>
      </c>
      <c r="B301">
        <v>2</v>
      </c>
      <c r="C301" t="s">
        <v>0</v>
      </c>
      <c r="D301">
        <v>13.64</v>
      </c>
      <c r="E301">
        <v>32</v>
      </c>
    </row>
    <row r="302" spans="1:5" x14ac:dyDescent="0.3">
      <c r="A302">
        <v>77010000126</v>
      </c>
      <c r="B302">
        <v>2</v>
      </c>
      <c r="C302" t="s">
        <v>0</v>
      </c>
      <c r="D302">
        <v>13.64</v>
      </c>
      <c r="E302">
        <v>32</v>
      </c>
    </row>
    <row r="303" spans="1:5" x14ac:dyDescent="0.3">
      <c r="A303">
        <v>77010000108</v>
      </c>
      <c r="B303">
        <v>2</v>
      </c>
      <c r="C303" t="s">
        <v>0</v>
      </c>
      <c r="D303">
        <v>8.2100000000000009</v>
      </c>
      <c r="E303">
        <v>36</v>
      </c>
    </row>
    <row r="304" spans="1:5" x14ac:dyDescent="0.3">
      <c r="A304">
        <v>77010000110</v>
      </c>
      <c r="B304">
        <v>2</v>
      </c>
      <c r="C304" t="s">
        <v>0</v>
      </c>
      <c r="D304">
        <v>8.89</v>
      </c>
      <c r="E304">
        <v>39</v>
      </c>
    </row>
    <row r="305" spans="1:5" x14ac:dyDescent="0.3">
      <c r="A305">
        <v>77010000111</v>
      </c>
      <c r="B305">
        <v>2</v>
      </c>
      <c r="C305" t="s">
        <v>0</v>
      </c>
      <c r="D305">
        <v>8.89</v>
      </c>
      <c r="E305">
        <v>39</v>
      </c>
    </row>
    <row r="306" spans="1:5" x14ac:dyDescent="0.3">
      <c r="A306">
        <v>77010000114</v>
      </c>
      <c r="B306">
        <v>2</v>
      </c>
      <c r="C306" t="s">
        <v>0</v>
      </c>
      <c r="D306">
        <v>17.47</v>
      </c>
      <c r="E306">
        <v>41</v>
      </c>
    </row>
    <row r="307" spans="1:5" x14ac:dyDescent="0.3">
      <c r="A307">
        <v>77010000101</v>
      </c>
      <c r="B307">
        <v>2</v>
      </c>
      <c r="C307" t="s">
        <v>0</v>
      </c>
      <c r="D307">
        <v>17.47</v>
      </c>
      <c r="E307">
        <v>41</v>
      </c>
    </row>
    <row r="308" spans="1:5" x14ac:dyDescent="0.3">
      <c r="A308">
        <v>77010000112</v>
      </c>
      <c r="B308">
        <v>2</v>
      </c>
      <c r="C308" t="s">
        <v>0</v>
      </c>
      <c r="D308">
        <v>18.329999999999998</v>
      </c>
      <c r="E308">
        <v>43</v>
      </c>
    </row>
    <row r="309" spans="1:5" x14ac:dyDescent="0.3">
      <c r="A309">
        <v>77010000129</v>
      </c>
      <c r="B309">
        <v>2</v>
      </c>
      <c r="C309" t="s">
        <v>0</v>
      </c>
      <c r="D309">
        <v>21.31</v>
      </c>
      <c r="E309">
        <v>50</v>
      </c>
    </row>
    <row r="310" spans="1:5" x14ac:dyDescent="0.3">
      <c r="A310">
        <v>77010000108</v>
      </c>
      <c r="B310">
        <v>2</v>
      </c>
      <c r="C310" t="s">
        <v>0</v>
      </c>
      <c r="D310">
        <v>22.59</v>
      </c>
      <c r="E310">
        <v>53</v>
      </c>
    </row>
    <row r="311" spans="1:5" x14ac:dyDescent="0.3">
      <c r="A311">
        <v>77010000115</v>
      </c>
      <c r="B311">
        <v>2</v>
      </c>
      <c r="C311" t="s">
        <v>0</v>
      </c>
      <c r="D311">
        <v>23.01</v>
      </c>
      <c r="E311">
        <v>54</v>
      </c>
    </row>
    <row r="312" spans="1:5" x14ac:dyDescent="0.3">
      <c r="A312">
        <v>77010000113</v>
      </c>
      <c r="B312">
        <v>2</v>
      </c>
      <c r="C312" t="s">
        <v>0</v>
      </c>
      <c r="D312">
        <v>25.15</v>
      </c>
      <c r="E312">
        <v>59</v>
      </c>
    </row>
    <row r="313" spans="1:5" x14ac:dyDescent="0.3">
      <c r="A313">
        <v>77010000123</v>
      </c>
      <c r="B313">
        <v>2</v>
      </c>
      <c r="C313" t="s">
        <v>0</v>
      </c>
      <c r="D313">
        <v>14.14</v>
      </c>
      <c r="E313">
        <v>62</v>
      </c>
    </row>
    <row r="314" spans="1:5" x14ac:dyDescent="0.3">
      <c r="A314">
        <v>77010000121</v>
      </c>
      <c r="B314">
        <v>2</v>
      </c>
      <c r="C314" t="s">
        <v>0</v>
      </c>
      <c r="D314">
        <v>28.13</v>
      </c>
      <c r="E314">
        <v>66</v>
      </c>
    </row>
    <row r="315" spans="1:5" x14ac:dyDescent="0.3">
      <c r="A315">
        <v>77010000099</v>
      </c>
      <c r="B315">
        <v>2</v>
      </c>
      <c r="C315" t="s">
        <v>0</v>
      </c>
      <c r="D315">
        <v>29.83</v>
      </c>
      <c r="E315">
        <v>70</v>
      </c>
    </row>
    <row r="316" spans="1:5" x14ac:dyDescent="0.3">
      <c r="A316">
        <v>77010000122</v>
      </c>
      <c r="B316">
        <v>2</v>
      </c>
      <c r="C316" t="s">
        <v>0</v>
      </c>
      <c r="D316">
        <v>16.87</v>
      </c>
      <c r="E316">
        <v>74</v>
      </c>
    </row>
    <row r="317" spans="1:5" x14ac:dyDescent="0.3">
      <c r="A317">
        <v>77010000099</v>
      </c>
      <c r="B317">
        <v>2</v>
      </c>
      <c r="C317" t="s">
        <v>0</v>
      </c>
      <c r="D317">
        <v>32.39</v>
      </c>
      <c r="E317">
        <v>76</v>
      </c>
    </row>
    <row r="318" spans="1:5" x14ac:dyDescent="0.3">
      <c r="A318">
        <v>77010000109</v>
      </c>
      <c r="B318">
        <v>2</v>
      </c>
      <c r="C318" t="s">
        <v>1</v>
      </c>
      <c r="D318">
        <v>62.72</v>
      </c>
      <c r="E318">
        <v>79</v>
      </c>
    </row>
    <row r="319" spans="1:5" x14ac:dyDescent="0.3">
      <c r="A319">
        <v>77010000109</v>
      </c>
      <c r="B319">
        <v>2</v>
      </c>
      <c r="C319" t="s">
        <v>0</v>
      </c>
      <c r="D319">
        <v>18.47</v>
      </c>
      <c r="E319">
        <v>81</v>
      </c>
    </row>
    <row r="320" spans="1:5" x14ac:dyDescent="0.3">
      <c r="A320">
        <v>77010000107</v>
      </c>
      <c r="B320">
        <v>2</v>
      </c>
      <c r="C320" t="s">
        <v>0</v>
      </c>
      <c r="D320">
        <v>34.950000000000003</v>
      </c>
      <c r="E320">
        <v>82</v>
      </c>
    </row>
    <row r="321" spans="1:5" x14ac:dyDescent="0.3">
      <c r="A321">
        <v>77010000122</v>
      </c>
      <c r="B321">
        <v>2</v>
      </c>
      <c r="C321" t="s">
        <v>0</v>
      </c>
      <c r="D321">
        <v>21.2</v>
      </c>
      <c r="E321">
        <v>93</v>
      </c>
    </row>
    <row r="322" spans="1:5" x14ac:dyDescent="0.3">
      <c r="A322">
        <v>77010000138</v>
      </c>
      <c r="B322">
        <v>3</v>
      </c>
      <c r="C322" t="s">
        <v>0</v>
      </c>
      <c r="D322">
        <v>0.43</v>
      </c>
      <c r="E322">
        <v>1</v>
      </c>
    </row>
    <row r="323" spans="1:5" x14ac:dyDescent="0.3">
      <c r="A323">
        <v>77010000135</v>
      </c>
      <c r="B323">
        <v>3</v>
      </c>
      <c r="C323" t="s">
        <v>0</v>
      </c>
      <c r="D323">
        <v>0.85</v>
      </c>
      <c r="E323">
        <v>2</v>
      </c>
    </row>
    <row r="324" spans="1:5" x14ac:dyDescent="0.3">
      <c r="A324">
        <v>77010000134</v>
      </c>
      <c r="B324">
        <v>3</v>
      </c>
      <c r="C324" t="s">
        <v>0</v>
      </c>
      <c r="D324">
        <v>0.85</v>
      </c>
      <c r="E324">
        <v>2</v>
      </c>
    </row>
    <row r="325" spans="1:5" x14ac:dyDescent="0.3">
      <c r="A325">
        <v>77010000130</v>
      </c>
      <c r="B325">
        <v>3</v>
      </c>
      <c r="C325" t="s">
        <v>0</v>
      </c>
      <c r="D325">
        <v>2.13</v>
      </c>
      <c r="E325">
        <v>5</v>
      </c>
    </row>
    <row r="326" spans="1:5" x14ac:dyDescent="0.3">
      <c r="A326">
        <v>77010000130</v>
      </c>
      <c r="B326">
        <v>3</v>
      </c>
      <c r="C326" t="s">
        <v>0</v>
      </c>
      <c r="D326">
        <v>2.56</v>
      </c>
      <c r="E326">
        <v>6</v>
      </c>
    </row>
    <row r="327" spans="1:5" x14ac:dyDescent="0.3">
      <c r="A327">
        <v>77010000131</v>
      </c>
      <c r="B327">
        <v>3</v>
      </c>
      <c r="C327" t="s">
        <v>0</v>
      </c>
      <c r="D327">
        <v>2.56</v>
      </c>
      <c r="E327">
        <v>6</v>
      </c>
    </row>
    <row r="328" spans="1:5" x14ac:dyDescent="0.3">
      <c r="A328">
        <v>77010000145</v>
      </c>
      <c r="B328">
        <v>3</v>
      </c>
      <c r="C328" t="s">
        <v>0</v>
      </c>
      <c r="D328">
        <v>3.84</v>
      </c>
      <c r="E328">
        <v>9</v>
      </c>
    </row>
    <row r="329" spans="1:5" x14ac:dyDescent="0.3">
      <c r="A329">
        <v>77010000137</v>
      </c>
      <c r="B329">
        <v>3</v>
      </c>
      <c r="C329" t="s">
        <v>0</v>
      </c>
      <c r="D329">
        <v>4.26</v>
      </c>
      <c r="E329">
        <v>10</v>
      </c>
    </row>
    <row r="330" spans="1:5" x14ac:dyDescent="0.3">
      <c r="A330">
        <v>77010000132</v>
      </c>
      <c r="B330">
        <v>3</v>
      </c>
      <c r="C330" t="s">
        <v>0</v>
      </c>
      <c r="D330">
        <v>4.26</v>
      </c>
      <c r="E330">
        <v>10</v>
      </c>
    </row>
    <row r="331" spans="1:5" x14ac:dyDescent="0.3">
      <c r="A331">
        <v>77010000139</v>
      </c>
      <c r="B331">
        <v>3</v>
      </c>
      <c r="C331" t="s">
        <v>0</v>
      </c>
      <c r="D331">
        <v>5.1100000000000003</v>
      </c>
      <c r="E331">
        <v>12</v>
      </c>
    </row>
    <row r="332" spans="1:5" x14ac:dyDescent="0.3">
      <c r="A332">
        <v>77010000135</v>
      </c>
      <c r="B332">
        <v>3</v>
      </c>
      <c r="C332" t="s">
        <v>0</v>
      </c>
      <c r="D332">
        <v>5.54</v>
      </c>
      <c r="E332">
        <v>13</v>
      </c>
    </row>
    <row r="333" spans="1:5" x14ac:dyDescent="0.3">
      <c r="A333">
        <v>77010000136</v>
      </c>
      <c r="B333">
        <v>3</v>
      </c>
      <c r="C333" t="s">
        <v>0</v>
      </c>
      <c r="D333">
        <v>5.97</v>
      </c>
      <c r="E333">
        <v>14</v>
      </c>
    </row>
    <row r="334" spans="1:5" x14ac:dyDescent="0.3">
      <c r="A334">
        <v>77010000144</v>
      </c>
      <c r="B334">
        <v>3</v>
      </c>
      <c r="C334" t="s">
        <v>0</v>
      </c>
      <c r="D334">
        <v>6.39</v>
      </c>
      <c r="E334">
        <v>15</v>
      </c>
    </row>
    <row r="335" spans="1:5" x14ac:dyDescent="0.3">
      <c r="A335">
        <v>77010000143</v>
      </c>
      <c r="B335">
        <v>3</v>
      </c>
      <c r="C335" t="s">
        <v>0</v>
      </c>
      <c r="D335">
        <v>7.67</v>
      </c>
      <c r="E335">
        <v>18</v>
      </c>
    </row>
    <row r="336" spans="1:5" x14ac:dyDescent="0.3">
      <c r="A336">
        <v>77010000131</v>
      </c>
      <c r="B336">
        <v>3</v>
      </c>
      <c r="C336" t="s">
        <v>0</v>
      </c>
      <c r="D336">
        <v>8.52</v>
      </c>
      <c r="E336">
        <v>20</v>
      </c>
    </row>
    <row r="337" spans="1:5" x14ac:dyDescent="0.3">
      <c r="A337">
        <v>77010000141</v>
      </c>
      <c r="B337">
        <v>3</v>
      </c>
      <c r="C337" t="s">
        <v>0</v>
      </c>
      <c r="D337">
        <v>8.9499999999999993</v>
      </c>
      <c r="E337">
        <v>21</v>
      </c>
    </row>
    <row r="338" spans="1:5" x14ac:dyDescent="0.3">
      <c r="A338">
        <v>77010000136</v>
      </c>
      <c r="B338">
        <v>3</v>
      </c>
      <c r="C338" t="s">
        <v>0</v>
      </c>
      <c r="D338">
        <v>9.3800000000000008</v>
      </c>
      <c r="E338">
        <v>22</v>
      </c>
    </row>
    <row r="339" spans="1:5" x14ac:dyDescent="0.3">
      <c r="A339">
        <v>77010000131</v>
      </c>
      <c r="B339">
        <v>3</v>
      </c>
      <c r="C339" t="s">
        <v>0</v>
      </c>
      <c r="D339">
        <v>9.8000000000000007</v>
      </c>
      <c r="E339">
        <v>23</v>
      </c>
    </row>
    <row r="340" spans="1:5" x14ac:dyDescent="0.3">
      <c r="A340">
        <v>77010000133</v>
      </c>
      <c r="B340">
        <v>3</v>
      </c>
      <c r="C340" t="s">
        <v>0</v>
      </c>
      <c r="D340">
        <v>9.8000000000000007</v>
      </c>
      <c r="E340">
        <v>23</v>
      </c>
    </row>
    <row r="341" spans="1:5" x14ac:dyDescent="0.3">
      <c r="A341">
        <v>77010000133</v>
      </c>
      <c r="B341">
        <v>3</v>
      </c>
      <c r="C341" t="s">
        <v>0</v>
      </c>
      <c r="D341">
        <v>10.23</v>
      </c>
      <c r="E341">
        <v>24</v>
      </c>
    </row>
    <row r="342" spans="1:5" x14ac:dyDescent="0.3">
      <c r="A342">
        <v>77010000134</v>
      </c>
      <c r="B342">
        <v>3</v>
      </c>
      <c r="C342" t="s">
        <v>0</v>
      </c>
      <c r="D342">
        <v>11.51</v>
      </c>
      <c r="E342">
        <v>27</v>
      </c>
    </row>
    <row r="343" spans="1:5" x14ac:dyDescent="0.3">
      <c r="A343">
        <v>77010000132</v>
      </c>
      <c r="B343">
        <v>3</v>
      </c>
      <c r="C343" t="s">
        <v>4</v>
      </c>
      <c r="D343">
        <v>0</v>
      </c>
      <c r="E343">
        <v>31</v>
      </c>
    </row>
    <row r="344" spans="1:5" x14ac:dyDescent="0.3">
      <c r="A344">
        <v>77010000146</v>
      </c>
      <c r="B344">
        <v>3</v>
      </c>
      <c r="C344" t="s">
        <v>0</v>
      </c>
      <c r="D344">
        <v>15.77</v>
      </c>
      <c r="E344">
        <v>37</v>
      </c>
    </row>
    <row r="345" spans="1:5" x14ac:dyDescent="0.3">
      <c r="A345">
        <v>77010000130</v>
      </c>
      <c r="B345">
        <v>3</v>
      </c>
      <c r="C345" t="s">
        <v>0</v>
      </c>
      <c r="D345">
        <v>18.75</v>
      </c>
      <c r="E345">
        <v>44</v>
      </c>
    </row>
    <row r="346" spans="1:5" x14ac:dyDescent="0.3">
      <c r="A346">
        <v>77010000140</v>
      </c>
      <c r="B346">
        <v>3</v>
      </c>
      <c r="C346" t="s">
        <v>0</v>
      </c>
      <c r="D346">
        <v>18.75</v>
      </c>
      <c r="E346">
        <v>44</v>
      </c>
    </row>
    <row r="347" spans="1:5" x14ac:dyDescent="0.3">
      <c r="A347">
        <v>77010000133</v>
      </c>
      <c r="B347">
        <v>3</v>
      </c>
      <c r="C347" t="s">
        <v>0</v>
      </c>
      <c r="D347">
        <v>21.74</v>
      </c>
      <c r="E347">
        <v>51</v>
      </c>
    </row>
    <row r="348" spans="1:5" x14ac:dyDescent="0.3">
      <c r="A348">
        <v>77010000130</v>
      </c>
      <c r="B348">
        <v>3</v>
      </c>
      <c r="C348" t="s">
        <v>0</v>
      </c>
      <c r="D348">
        <v>24.72</v>
      </c>
      <c r="E348">
        <v>58</v>
      </c>
    </row>
    <row r="349" spans="1:5" x14ac:dyDescent="0.3">
      <c r="A349">
        <v>77010000132</v>
      </c>
      <c r="B349">
        <v>3</v>
      </c>
      <c r="C349" t="s">
        <v>0</v>
      </c>
      <c r="D349">
        <v>29.41</v>
      </c>
      <c r="E349">
        <v>69</v>
      </c>
    </row>
    <row r="350" spans="1:5" x14ac:dyDescent="0.3">
      <c r="A350">
        <v>77010000142</v>
      </c>
      <c r="B350">
        <v>3</v>
      </c>
      <c r="C350" t="s">
        <v>0</v>
      </c>
      <c r="D350">
        <v>40.49</v>
      </c>
      <c r="E350">
        <v>95</v>
      </c>
    </row>
    <row r="351" spans="1:5" x14ac:dyDescent="0.3">
      <c r="A351">
        <v>77010000150</v>
      </c>
      <c r="B351">
        <v>4</v>
      </c>
      <c r="C351" t="s">
        <v>0</v>
      </c>
      <c r="D351">
        <v>3.25</v>
      </c>
      <c r="E351">
        <v>8</v>
      </c>
    </row>
    <row r="352" spans="1:5" x14ac:dyDescent="0.3">
      <c r="A352">
        <v>77010000148</v>
      </c>
      <c r="B352">
        <v>4</v>
      </c>
      <c r="C352" t="s">
        <v>0</v>
      </c>
      <c r="D352">
        <v>5.69</v>
      </c>
      <c r="E352">
        <v>14</v>
      </c>
    </row>
    <row r="353" spans="1:5" x14ac:dyDescent="0.3">
      <c r="A353">
        <v>77010000150</v>
      </c>
      <c r="B353">
        <v>4</v>
      </c>
      <c r="C353" t="s">
        <v>0</v>
      </c>
      <c r="D353">
        <v>5.69</v>
      </c>
      <c r="E353">
        <v>14</v>
      </c>
    </row>
    <row r="354" spans="1:5" x14ac:dyDescent="0.3">
      <c r="A354">
        <v>77010000147</v>
      </c>
      <c r="B354">
        <v>4</v>
      </c>
      <c r="C354" t="s">
        <v>0</v>
      </c>
      <c r="D354">
        <v>6.5</v>
      </c>
      <c r="E354">
        <v>16</v>
      </c>
    </row>
    <row r="355" spans="1:5" x14ac:dyDescent="0.3">
      <c r="A355">
        <v>77010000149</v>
      </c>
      <c r="B355">
        <v>4</v>
      </c>
      <c r="C355" t="s">
        <v>0</v>
      </c>
      <c r="D355">
        <v>6.5</v>
      </c>
      <c r="E355">
        <v>16</v>
      </c>
    </row>
    <row r="356" spans="1:5" x14ac:dyDescent="0.3">
      <c r="A356">
        <v>77010000151</v>
      </c>
      <c r="B356">
        <v>4</v>
      </c>
      <c r="C356" t="s">
        <v>0</v>
      </c>
      <c r="D356">
        <v>8.5299999999999994</v>
      </c>
      <c r="E356">
        <v>21</v>
      </c>
    </row>
    <row r="357" spans="1:5" x14ac:dyDescent="0.3">
      <c r="A357">
        <v>77010000152</v>
      </c>
      <c r="B357">
        <v>4</v>
      </c>
      <c r="C357" t="s">
        <v>0</v>
      </c>
      <c r="D357">
        <v>8.5299999999999994</v>
      </c>
      <c r="E357">
        <v>21</v>
      </c>
    </row>
    <row r="358" spans="1:5" x14ac:dyDescent="0.3">
      <c r="A358">
        <v>77010000154</v>
      </c>
      <c r="B358">
        <v>4</v>
      </c>
      <c r="C358" t="s">
        <v>0</v>
      </c>
      <c r="D358">
        <v>9.75</v>
      </c>
      <c r="E358">
        <v>24</v>
      </c>
    </row>
    <row r="359" spans="1:5" x14ac:dyDescent="0.3">
      <c r="A359">
        <v>77010000148</v>
      </c>
      <c r="B359">
        <v>4</v>
      </c>
      <c r="C359" t="s">
        <v>0</v>
      </c>
      <c r="D359">
        <v>9.75</v>
      </c>
      <c r="E359">
        <v>24</v>
      </c>
    </row>
    <row r="360" spans="1:5" x14ac:dyDescent="0.3">
      <c r="A360">
        <v>77010000149</v>
      </c>
      <c r="B360">
        <v>4</v>
      </c>
      <c r="C360" t="s">
        <v>0</v>
      </c>
      <c r="D360">
        <v>9.75</v>
      </c>
      <c r="E360">
        <v>24</v>
      </c>
    </row>
    <row r="361" spans="1:5" x14ac:dyDescent="0.3">
      <c r="A361">
        <v>77010000150</v>
      </c>
      <c r="B361">
        <v>4</v>
      </c>
      <c r="C361" t="s">
        <v>0</v>
      </c>
      <c r="D361">
        <v>12.19</v>
      </c>
      <c r="E361">
        <v>30</v>
      </c>
    </row>
    <row r="362" spans="1:5" x14ac:dyDescent="0.3">
      <c r="A362">
        <v>77010000151</v>
      </c>
      <c r="B362">
        <v>4</v>
      </c>
      <c r="C362" t="s">
        <v>0</v>
      </c>
      <c r="D362">
        <v>18.29</v>
      </c>
      <c r="E362">
        <v>45</v>
      </c>
    </row>
    <row r="363" spans="1:5" x14ac:dyDescent="0.3">
      <c r="A363">
        <v>77010000153</v>
      </c>
      <c r="B363">
        <v>4</v>
      </c>
      <c r="C363" t="s">
        <v>0</v>
      </c>
      <c r="D363">
        <v>18.690000000000001</v>
      </c>
      <c r="E363">
        <v>46</v>
      </c>
    </row>
    <row r="364" spans="1:5" x14ac:dyDescent="0.3">
      <c r="A364">
        <v>77010000174</v>
      </c>
      <c r="B364">
        <v>5</v>
      </c>
      <c r="C364" t="s">
        <v>0</v>
      </c>
      <c r="D364">
        <v>0</v>
      </c>
      <c r="E364">
        <v>0</v>
      </c>
    </row>
    <row r="365" spans="1:5" x14ac:dyDescent="0.3">
      <c r="A365">
        <v>77010000181</v>
      </c>
      <c r="B365">
        <v>5</v>
      </c>
      <c r="C365" t="s">
        <v>0</v>
      </c>
      <c r="D365">
        <v>0</v>
      </c>
      <c r="E365">
        <v>0</v>
      </c>
    </row>
    <row r="366" spans="1:5" x14ac:dyDescent="0.3">
      <c r="A366">
        <v>77010000162</v>
      </c>
      <c r="B366">
        <v>5</v>
      </c>
      <c r="C366" t="s">
        <v>0</v>
      </c>
      <c r="D366">
        <v>0.43</v>
      </c>
      <c r="E366">
        <v>1</v>
      </c>
    </row>
    <row r="367" spans="1:5" x14ac:dyDescent="0.3">
      <c r="A367">
        <v>77010000165</v>
      </c>
      <c r="B367">
        <v>5</v>
      </c>
      <c r="C367" t="s">
        <v>0</v>
      </c>
      <c r="D367">
        <v>0.43</v>
      </c>
      <c r="E367">
        <v>1</v>
      </c>
    </row>
    <row r="368" spans="1:5" x14ac:dyDescent="0.3">
      <c r="A368">
        <v>77010000166</v>
      </c>
      <c r="B368">
        <v>5</v>
      </c>
      <c r="C368" t="s">
        <v>1</v>
      </c>
      <c r="D368">
        <v>7.43</v>
      </c>
      <c r="E368">
        <v>1</v>
      </c>
    </row>
    <row r="369" spans="1:5" x14ac:dyDescent="0.3">
      <c r="A369">
        <v>77010000170</v>
      </c>
      <c r="B369">
        <v>5</v>
      </c>
      <c r="C369" t="s">
        <v>0</v>
      </c>
      <c r="D369">
        <v>0.43</v>
      </c>
      <c r="E369">
        <v>1</v>
      </c>
    </row>
    <row r="370" spans="1:5" x14ac:dyDescent="0.3">
      <c r="A370">
        <v>77010000175</v>
      </c>
      <c r="B370">
        <v>5</v>
      </c>
      <c r="C370" t="s">
        <v>0</v>
      </c>
      <c r="D370">
        <v>0.43</v>
      </c>
      <c r="E370">
        <v>1</v>
      </c>
    </row>
    <row r="371" spans="1:5" x14ac:dyDescent="0.3">
      <c r="A371">
        <v>77010000182</v>
      </c>
      <c r="B371">
        <v>5</v>
      </c>
      <c r="C371" t="s">
        <v>0</v>
      </c>
      <c r="D371">
        <v>0.43</v>
      </c>
      <c r="E371">
        <v>1</v>
      </c>
    </row>
    <row r="372" spans="1:5" x14ac:dyDescent="0.3">
      <c r="A372">
        <v>77010000187</v>
      </c>
      <c r="B372">
        <v>5</v>
      </c>
      <c r="C372" t="s">
        <v>0</v>
      </c>
      <c r="D372">
        <v>0.43</v>
      </c>
      <c r="E372">
        <v>1</v>
      </c>
    </row>
    <row r="373" spans="1:5" x14ac:dyDescent="0.3">
      <c r="A373">
        <v>77010000193</v>
      </c>
      <c r="B373">
        <v>5</v>
      </c>
      <c r="C373" t="s">
        <v>0</v>
      </c>
      <c r="D373">
        <v>0.43</v>
      </c>
      <c r="E373">
        <v>1</v>
      </c>
    </row>
    <row r="374" spans="1:5" x14ac:dyDescent="0.3">
      <c r="A374">
        <v>77010000195</v>
      </c>
      <c r="B374">
        <v>5</v>
      </c>
      <c r="C374" t="s">
        <v>0</v>
      </c>
      <c r="D374">
        <v>0.43</v>
      </c>
      <c r="E374">
        <v>1</v>
      </c>
    </row>
    <row r="375" spans="1:5" x14ac:dyDescent="0.3">
      <c r="A375">
        <v>77010000198</v>
      </c>
      <c r="B375">
        <v>5</v>
      </c>
      <c r="C375" t="s">
        <v>0</v>
      </c>
      <c r="D375">
        <v>0.43</v>
      </c>
      <c r="E375">
        <v>1</v>
      </c>
    </row>
    <row r="376" spans="1:5" x14ac:dyDescent="0.3">
      <c r="A376">
        <v>77010000171</v>
      </c>
      <c r="B376">
        <v>5</v>
      </c>
      <c r="C376" t="s">
        <v>0</v>
      </c>
      <c r="D376">
        <v>0</v>
      </c>
      <c r="E376">
        <v>1</v>
      </c>
    </row>
    <row r="377" spans="1:5" x14ac:dyDescent="0.3">
      <c r="A377">
        <v>77010000173</v>
      </c>
      <c r="B377">
        <v>5</v>
      </c>
      <c r="C377" t="s">
        <v>0</v>
      </c>
      <c r="D377">
        <v>0.43</v>
      </c>
      <c r="E377">
        <v>1</v>
      </c>
    </row>
    <row r="378" spans="1:5" x14ac:dyDescent="0.3">
      <c r="A378">
        <v>77010000185</v>
      </c>
      <c r="B378">
        <v>5</v>
      </c>
      <c r="C378" t="s">
        <v>0</v>
      </c>
      <c r="D378">
        <v>0.43</v>
      </c>
      <c r="E378">
        <v>1</v>
      </c>
    </row>
    <row r="379" spans="1:5" x14ac:dyDescent="0.3">
      <c r="A379">
        <v>77010000193</v>
      </c>
      <c r="B379">
        <v>5</v>
      </c>
      <c r="C379" t="s">
        <v>1</v>
      </c>
      <c r="D379">
        <v>7.43</v>
      </c>
      <c r="E379">
        <v>1</v>
      </c>
    </row>
    <row r="380" spans="1:5" x14ac:dyDescent="0.3">
      <c r="A380">
        <v>77010000205</v>
      </c>
      <c r="B380">
        <v>5</v>
      </c>
      <c r="C380" t="s">
        <v>0</v>
      </c>
      <c r="D380">
        <v>0.43</v>
      </c>
      <c r="E380">
        <v>1</v>
      </c>
    </row>
    <row r="381" spans="1:5" x14ac:dyDescent="0.3">
      <c r="A381">
        <v>77010000192</v>
      </c>
      <c r="B381">
        <v>5</v>
      </c>
      <c r="C381" t="s">
        <v>0</v>
      </c>
      <c r="D381">
        <v>0.43</v>
      </c>
      <c r="E381">
        <v>1</v>
      </c>
    </row>
    <row r="382" spans="1:5" x14ac:dyDescent="0.3">
      <c r="A382">
        <v>77010000224</v>
      </c>
      <c r="B382">
        <v>5</v>
      </c>
      <c r="C382" t="s">
        <v>0</v>
      </c>
      <c r="D382">
        <v>0.43</v>
      </c>
      <c r="E382">
        <v>1</v>
      </c>
    </row>
    <row r="383" spans="1:5" x14ac:dyDescent="0.3">
      <c r="A383">
        <v>77010000227</v>
      </c>
      <c r="B383">
        <v>5</v>
      </c>
      <c r="C383" t="s">
        <v>0</v>
      </c>
      <c r="D383">
        <v>0.43</v>
      </c>
      <c r="E383">
        <v>1</v>
      </c>
    </row>
    <row r="384" spans="1:5" x14ac:dyDescent="0.3">
      <c r="A384">
        <v>77010000209</v>
      </c>
      <c r="B384">
        <v>5</v>
      </c>
      <c r="C384" t="s">
        <v>0</v>
      </c>
      <c r="D384">
        <v>0.43</v>
      </c>
      <c r="E384">
        <v>1</v>
      </c>
    </row>
    <row r="385" spans="1:5" x14ac:dyDescent="0.3">
      <c r="A385">
        <v>77010000216</v>
      </c>
      <c r="B385">
        <v>5</v>
      </c>
      <c r="C385" t="s">
        <v>0</v>
      </c>
      <c r="D385">
        <v>0.43</v>
      </c>
      <c r="E385">
        <v>1</v>
      </c>
    </row>
    <row r="386" spans="1:5" x14ac:dyDescent="0.3">
      <c r="A386">
        <v>77010000236</v>
      </c>
      <c r="B386">
        <v>5</v>
      </c>
      <c r="C386" t="s">
        <v>0</v>
      </c>
      <c r="D386">
        <v>0.43</v>
      </c>
      <c r="E386">
        <v>1</v>
      </c>
    </row>
    <row r="387" spans="1:5" x14ac:dyDescent="0.3">
      <c r="A387">
        <v>77010000235</v>
      </c>
      <c r="B387">
        <v>5</v>
      </c>
      <c r="C387" t="s">
        <v>0</v>
      </c>
      <c r="D387">
        <v>0.43</v>
      </c>
      <c r="E387">
        <v>1</v>
      </c>
    </row>
    <row r="388" spans="1:5" x14ac:dyDescent="0.3">
      <c r="A388">
        <v>77010000165</v>
      </c>
      <c r="B388">
        <v>5</v>
      </c>
      <c r="C388" t="s">
        <v>0</v>
      </c>
      <c r="D388">
        <v>0.85</v>
      </c>
      <c r="E388">
        <v>2</v>
      </c>
    </row>
    <row r="389" spans="1:5" x14ac:dyDescent="0.3">
      <c r="A389">
        <v>77010000163</v>
      </c>
      <c r="B389">
        <v>5</v>
      </c>
      <c r="C389" t="s">
        <v>2</v>
      </c>
      <c r="D389">
        <v>7.43</v>
      </c>
      <c r="E389">
        <v>2</v>
      </c>
    </row>
    <row r="390" spans="1:5" x14ac:dyDescent="0.3">
      <c r="A390">
        <v>77010000173</v>
      </c>
      <c r="B390">
        <v>5</v>
      </c>
      <c r="C390" t="s">
        <v>0</v>
      </c>
      <c r="D390">
        <v>0.85</v>
      </c>
      <c r="E390">
        <v>2</v>
      </c>
    </row>
    <row r="391" spans="1:5" x14ac:dyDescent="0.3">
      <c r="A391">
        <v>77010000177</v>
      </c>
      <c r="B391">
        <v>5</v>
      </c>
      <c r="C391" t="s">
        <v>0</v>
      </c>
      <c r="D391">
        <v>0.85</v>
      </c>
      <c r="E391">
        <v>2</v>
      </c>
    </row>
    <row r="392" spans="1:5" x14ac:dyDescent="0.3">
      <c r="A392">
        <v>77010000186</v>
      </c>
      <c r="B392">
        <v>5</v>
      </c>
      <c r="C392" t="s">
        <v>0</v>
      </c>
      <c r="D392">
        <v>0.85</v>
      </c>
      <c r="E392">
        <v>2</v>
      </c>
    </row>
    <row r="393" spans="1:5" x14ac:dyDescent="0.3">
      <c r="A393">
        <v>77010000189</v>
      </c>
      <c r="B393">
        <v>5</v>
      </c>
      <c r="C393" t="s">
        <v>0</v>
      </c>
      <c r="D393">
        <v>0.85</v>
      </c>
      <c r="E393">
        <v>2</v>
      </c>
    </row>
    <row r="394" spans="1:5" x14ac:dyDescent="0.3">
      <c r="A394">
        <v>77010000187</v>
      </c>
      <c r="B394">
        <v>5</v>
      </c>
      <c r="C394" t="s">
        <v>0</v>
      </c>
      <c r="D394">
        <v>0.85</v>
      </c>
      <c r="E394">
        <v>2</v>
      </c>
    </row>
    <row r="395" spans="1:5" x14ac:dyDescent="0.3">
      <c r="A395">
        <v>77010000192</v>
      </c>
      <c r="B395">
        <v>5</v>
      </c>
      <c r="C395" t="s">
        <v>0</v>
      </c>
      <c r="D395">
        <v>0.85</v>
      </c>
      <c r="E395">
        <v>2</v>
      </c>
    </row>
    <row r="396" spans="1:5" x14ac:dyDescent="0.3">
      <c r="A396">
        <v>77010000237</v>
      </c>
      <c r="B396">
        <v>5</v>
      </c>
      <c r="C396" t="s">
        <v>0</v>
      </c>
      <c r="D396">
        <v>0.85</v>
      </c>
      <c r="E396">
        <v>2</v>
      </c>
    </row>
    <row r="397" spans="1:5" x14ac:dyDescent="0.3">
      <c r="A397">
        <v>77010000237</v>
      </c>
      <c r="B397">
        <v>5</v>
      </c>
      <c r="C397" t="s">
        <v>0</v>
      </c>
      <c r="D397">
        <v>0.85</v>
      </c>
      <c r="E397">
        <v>2</v>
      </c>
    </row>
    <row r="398" spans="1:5" x14ac:dyDescent="0.3">
      <c r="A398">
        <v>77010000168</v>
      </c>
      <c r="B398">
        <v>5</v>
      </c>
      <c r="C398" t="s">
        <v>0</v>
      </c>
      <c r="D398">
        <v>1.28</v>
      </c>
      <c r="E398">
        <v>3</v>
      </c>
    </row>
    <row r="399" spans="1:5" x14ac:dyDescent="0.3">
      <c r="A399">
        <v>77010000171</v>
      </c>
      <c r="B399">
        <v>5</v>
      </c>
      <c r="C399" t="s">
        <v>0</v>
      </c>
      <c r="D399">
        <v>1.28</v>
      </c>
      <c r="E399">
        <v>3</v>
      </c>
    </row>
    <row r="400" spans="1:5" x14ac:dyDescent="0.3">
      <c r="A400">
        <v>77010000185</v>
      </c>
      <c r="B400">
        <v>5</v>
      </c>
      <c r="C400" t="s">
        <v>0</v>
      </c>
      <c r="D400">
        <v>1.28</v>
      </c>
      <c r="E400">
        <v>3</v>
      </c>
    </row>
    <row r="401" spans="1:5" x14ac:dyDescent="0.3">
      <c r="A401">
        <v>77010000199</v>
      </c>
      <c r="B401">
        <v>5</v>
      </c>
      <c r="C401" t="s">
        <v>0</v>
      </c>
      <c r="D401">
        <v>1.28</v>
      </c>
      <c r="E401">
        <v>3</v>
      </c>
    </row>
    <row r="402" spans="1:5" x14ac:dyDescent="0.3">
      <c r="A402">
        <v>77010000223</v>
      </c>
      <c r="B402">
        <v>5</v>
      </c>
      <c r="C402" t="s">
        <v>0</v>
      </c>
      <c r="D402">
        <v>1.28</v>
      </c>
      <c r="E402">
        <v>3</v>
      </c>
    </row>
    <row r="403" spans="1:5" x14ac:dyDescent="0.3">
      <c r="A403">
        <v>77010000234</v>
      </c>
      <c r="B403">
        <v>5</v>
      </c>
      <c r="C403" t="s">
        <v>0</v>
      </c>
      <c r="D403">
        <v>0</v>
      </c>
      <c r="E403">
        <v>3</v>
      </c>
    </row>
    <row r="404" spans="1:5" x14ac:dyDescent="0.3">
      <c r="A404">
        <v>77010000164</v>
      </c>
      <c r="B404">
        <v>5</v>
      </c>
      <c r="C404" t="s">
        <v>0</v>
      </c>
      <c r="D404">
        <v>1.7</v>
      </c>
      <c r="E404">
        <v>4</v>
      </c>
    </row>
    <row r="405" spans="1:5" x14ac:dyDescent="0.3">
      <c r="A405">
        <v>77010000164</v>
      </c>
      <c r="B405">
        <v>5</v>
      </c>
      <c r="C405" t="s">
        <v>0</v>
      </c>
      <c r="D405">
        <v>1.7</v>
      </c>
      <c r="E405">
        <v>4</v>
      </c>
    </row>
    <row r="406" spans="1:5" x14ac:dyDescent="0.3">
      <c r="A406">
        <v>77010000169</v>
      </c>
      <c r="B406">
        <v>5</v>
      </c>
      <c r="C406" t="s">
        <v>0</v>
      </c>
      <c r="D406">
        <v>1.7</v>
      </c>
      <c r="E406">
        <v>4</v>
      </c>
    </row>
    <row r="407" spans="1:5" x14ac:dyDescent="0.3">
      <c r="A407">
        <v>77010000172</v>
      </c>
      <c r="B407">
        <v>5</v>
      </c>
      <c r="C407" t="s">
        <v>0</v>
      </c>
      <c r="D407">
        <v>1.7</v>
      </c>
      <c r="E407">
        <v>4</v>
      </c>
    </row>
    <row r="408" spans="1:5" x14ac:dyDescent="0.3">
      <c r="A408">
        <v>77010000180</v>
      </c>
      <c r="B408">
        <v>5</v>
      </c>
      <c r="C408" t="s">
        <v>0</v>
      </c>
      <c r="D408">
        <v>1.7</v>
      </c>
      <c r="E408">
        <v>4</v>
      </c>
    </row>
    <row r="409" spans="1:5" x14ac:dyDescent="0.3">
      <c r="A409">
        <v>77010000191</v>
      </c>
      <c r="B409">
        <v>5</v>
      </c>
      <c r="C409" t="s">
        <v>1</v>
      </c>
      <c r="D409">
        <v>7.43</v>
      </c>
      <c r="E409">
        <v>4</v>
      </c>
    </row>
    <row r="410" spans="1:5" x14ac:dyDescent="0.3">
      <c r="A410">
        <v>77010000196</v>
      </c>
      <c r="B410">
        <v>5</v>
      </c>
      <c r="C410" t="s">
        <v>0</v>
      </c>
      <c r="D410">
        <v>1.7</v>
      </c>
      <c r="E410">
        <v>4</v>
      </c>
    </row>
    <row r="411" spans="1:5" x14ac:dyDescent="0.3">
      <c r="A411">
        <v>77010000169</v>
      </c>
      <c r="B411">
        <v>5</v>
      </c>
      <c r="C411" t="s">
        <v>0</v>
      </c>
      <c r="D411">
        <v>1.7</v>
      </c>
      <c r="E411">
        <v>4</v>
      </c>
    </row>
    <row r="412" spans="1:5" x14ac:dyDescent="0.3">
      <c r="A412">
        <v>77010000195</v>
      </c>
      <c r="B412">
        <v>5</v>
      </c>
      <c r="C412" t="s">
        <v>0</v>
      </c>
      <c r="D412">
        <v>1.7</v>
      </c>
      <c r="E412">
        <v>4</v>
      </c>
    </row>
    <row r="413" spans="1:5" x14ac:dyDescent="0.3">
      <c r="A413">
        <v>77010000162</v>
      </c>
      <c r="B413">
        <v>5</v>
      </c>
      <c r="C413" t="s">
        <v>0</v>
      </c>
      <c r="D413">
        <v>2.13</v>
      </c>
      <c r="E413">
        <v>5</v>
      </c>
    </row>
    <row r="414" spans="1:5" x14ac:dyDescent="0.3">
      <c r="A414">
        <v>77010000167</v>
      </c>
      <c r="B414">
        <v>5</v>
      </c>
      <c r="C414" t="s">
        <v>0</v>
      </c>
      <c r="D414">
        <v>2.13</v>
      </c>
      <c r="E414">
        <v>5</v>
      </c>
    </row>
    <row r="415" spans="1:5" x14ac:dyDescent="0.3">
      <c r="A415">
        <v>77010000200</v>
      </c>
      <c r="B415">
        <v>5</v>
      </c>
      <c r="C415" t="s">
        <v>0</v>
      </c>
      <c r="D415">
        <v>2.13</v>
      </c>
      <c r="E415">
        <v>5</v>
      </c>
    </row>
    <row r="416" spans="1:5" x14ac:dyDescent="0.3">
      <c r="A416">
        <v>77010000184</v>
      </c>
      <c r="B416">
        <v>5</v>
      </c>
      <c r="C416" t="s">
        <v>0</v>
      </c>
      <c r="D416">
        <v>2.13</v>
      </c>
      <c r="E416">
        <v>5</v>
      </c>
    </row>
    <row r="417" spans="1:5" x14ac:dyDescent="0.3">
      <c r="A417">
        <v>77010000177</v>
      </c>
      <c r="B417">
        <v>5</v>
      </c>
      <c r="C417" t="s">
        <v>0</v>
      </c>
      <c r="D417">
        <v>2.13</v>
      </c>
      <c r="E417">
        <v>5</v>
      </c>
    </row>
    <row r="418" spans="1:5" x14ac:dyDescent="0.3">
      <c r="A418">
        <v>77010000193</v>
      </c>
      <c r="B418">
        <v>5</v>
      </c>
      <c r="C418" t="s">
        <v>0</v>
      </c>
      <c r="D418">
        <v>2.13</v>
      </c>
      <c r="E418">
        <v>5</v>
      </c>
    </row>
    <row r="419" spans="1:5" x14ac:dyDescent="0.3">
      <c r="A419">
        <v>77010000212</v>
      </c>
      <c r="B419">
        <v>5</v>
      </c>
      <c r="C419" t="s">
        <v>0</v>
      </c>
      <c r="D419">
        <v>2.13</v>
      </c>
      <c r="E419">
        <v>5</v>
      </c>
    </row>
    <row r="420" spans="1:5" x14ac:dyDescent="0.3">
      <c r="A420">
        <v>77010000235</v>
      </c>
      <c r="B420">
        <v>5</v>
      </c>
      <c r="C420" t="s">
        <v>0</v>
      </c>
      <c r="D420">
        <v>2.13</v>
      </c>
      <c r="E420">
        <v>5</v>
      </c>
    </row>
    <row r="421" spans="1:5" x14ac:dyDescent="0.3">
      <c r="A421">
        <v>77010000163</v>
      </c>
      <c r="B421">
        <v>5</v>
      </c>
      <c r="C421" t="s">
        <v>0</v>
      </c>
      <c r="D421">
        <v>2.56</v>
      </c>
      <c r="E421">
        <v>6</v>
      </c>
    </row>
    <row r="422" spans="1:5" x14ac:dyDescent="0.3">
      <c r="A422">
        <v>77010000170</v>
      </c>
      <c r="B422">
        <v>5</v>
      </c>
      <c r="C422" t="s">
        <v>0</v>
      </c>
      <c r="D422">
        <v>2.56</v>
      </c>
      <c r="E422">
        <v>6</v>
      </c>
    </row>
    <row r="423" spans="1:5" x14ac:dyDescent="0.3">
      <c r="A423">
        <v>77010000183</v>
      </c>
      <c r="B423">
        <v>5</v>
      </c>
      <c r="C423" t="s">
        <v>0</v>
      </c>
      <c r="D423">
        <v>2.56</v>
      </c>
      <c r="E423">
        <v>6</v>
      </c>
    </row>
    <row r="424" spans="1:5" x14ac:dyDescent="0.3">
      <c r="A424">
        <v>77010000190</v>
      </c>
      <c r="B424">
        <v>5</v>
      </c>
      <c r="C424" t="s">
        <v>0</v>
      </c>
      <c r="D424">
        <v>2.56</v>
      </c>
      <c r="E424">
        <v>6</v>
      </c>
    </row>
    <row r="425" spans="1:5" x14ac:dyDescent="0.3">
      <c r="A425">
        <v>77010000204</v>
      </c>
      <c r="B425">
        <v>5</v>
      </c>
      <c r="C425" t="s">
        <v>0</v>
      </c>
      <c r="D425">
        <v>0</v>
      </c>
      <c r="E425">
        <v>6</v>
      </c>
    </row>
    <row r="426" spans="1:5" x14ac:dyDescent="0.3">
      <c r="A426">
        <v>77010000182</v>
      </c>
      <c r="B426">
        <v>5</v>
      </c>
      <c r="C426" t="s">
        <v>0</v>
      </c>
      <c r="D426">
        <v>2.56</v>
      </c>
      <c r="E426">
        <v>6</v>
      </c>
    </row>
    <row r="427" spans="1:5" x14ac:dyDescent="0.3">
      <c r="A427">
        <v>77010000183</v>
      </c>
      <c r="B427">
        <v>5</v>
      </c>
      <c r="C427" t="s">
        <v>0</v>
      </c>
      <c r="D427">
        <v>2.56</v>
      </c>
      <c r="E427">
        <v>6</v>
      </c>
    </row>
    <row r="428" spans="1:5" x14ac:dyDescent="0.3">
      <c r="A428">
        <v>77010000190</v>
      </c>
      <c r="B428">
        <v>5</v>
      </c>
      <c r="C428" t="s">
        <v>0</v>
      </c>
      <c r="D428">
        <v>2.56</v>
      </c>
      <c r="E428">
        <v>6</v>
      </c>
    </row>
    <row r="429" spans="1:5" x14ac:dyDescent="0.3">
      <c r="A429">
        <v>77010000219</v>
      </c>
      <c r="B429">
        <v>5</v>
      </c>
      <c r="C429" t="s">
        <v>0</v>
      </c>
      <c r="D429">
        <v>2.56</v>
      </c>
      <c r="E429">
        <v>6</v>
      </c>
    </row>
    <row r="430" spans="1:5" x14ac:dyDescent="0.3">
      <c r="A430">
        <v>77010000178</v>
      </c>
      <c r="B430">
        <v>5</v>
      </c>
      <c r="C430" t="s">
        <v>0</v>
      </c>
      <c r="D430">
        <v>2.98</v>
      </c>
      <c r="E430">
        <v>7</v>
      </c>
    </row>
    <row r="431" spans="1:5" x14ac:dyDescent="0.3">
      <c r="A431">
        <v>77010000188</v>
      </c>
      <c r="B431">
        <v>5</v>
      </c>
      <c r="C431" t="s">
        <v>0</v>
      </c>
      <c r="D431">
        <v>2.98</v>
      </c>
      <c r="E431">
        <v>7</v>
      </c>
    </row>
    <row r="432" spans="1:5" x14ac:dyDescent="0.3">
      <c r="A432">
        <v>77010000190</v>
      </c>
      <c r="B432">
        <v>5</v>
      </c>
      <c r="C432" t="s">
        <v>0</v>
      </c>
      <c r="D432">
        <v>2.98</v>
      </c>
      <c r="E432">
        <v>7</v>
      </c>
    </row>
    <row r="433" spans="1:5" x14ac:dyDescent="0.3">
      <c r="A433">
        <v>77010000172</v>
      </c>
      <c r="B433">
        <v>5</v>
      </c>
      <c r="C433" t="s">
        <v>0</v>
      </c>
      <c r="D433">
        <v>2.98</v>
      </c>
      <c r="E433">
        <v>7</v>
      </c>
    </row>
    <row r="434" spans="1:5" x14ac:dyDescent="0.3">
      <c r="A434">
        <v>77010000175</v>
      </c>
      <c r="B434">
        <v>5</v>
      </c>
      <c r="C434" t="s">
        <v>1</v>
      </c>
      <c r="D434">
        <v>7.43</v>
      </c>
      <c r="E434">
        <v>7</v>
      </c>
    </row>
    <row r="435" spans="1:5" x14ac:dyDescent="0.3">
      <c r="A435">
        <v>77010000180</v>
      </c>
      <c r="B435">
        <v>5</v>
      </c>
      <c r="C435" t="s">
        <v>0</v>
      </c>
      <c r="D435">
        <v>2.98</v>
      </c>
      <c r="E435">
        <v>7</v>
      </c>
    </row>
    <row r="436" spans="1:5" x14ac:dyDescent="0.3">
      <c r="A436">
        <v>77010000189</v>
      </c>
      <c r="B436">
        <v>5</v>
      </c>
      <c r="C436" t="s">
        <v>0</v>
      </c>
      <c r="D436">
        <v>2.98</v>
      </c>
      <c r="E436">
        <v>7</v>
      </c>
    </row>
    <row r="437" spans="1:5" x14ac:dyDescent="0.3">
      <c r="A437">
        <v>77010000191</v>
      </c>
      <c r="B437">
        <v>5</v>
      </c>
      <c r="C437" t="s">
        <v>0</v>
      </c>
      <c r="D437">
        <v>2.98</v>
      </c>
      <c r="E437">
        <v>7</v>
      </c>
    </row>
    <row r="438" spans="1:5" x14ac:dyDescent="0.3">
      <c r="A438">
        <v>77010000221</v>
      </c>
      <c r="B438">
        <v>5</v>
      </c>
      <c r="C438" t="s">
        <v>0</v>
      </c>
      <c r="D438">
        <v>2.98</v>
      </c>
      <c r="E438">
        <v>7</v>
      </c>
    </row>
    <row r="439" spans="1:5" x14ac:dyDescent="0.3">
      <c r="A439">
        <v>77010000166</v>
      </c>
      <c r="B439">
        <v>5</v>
      </c>
      <c r="C439" t="s">
        <v>0</v>
      </c>
      <c r="D439">
        <v>3.41</v>
      </c>
      <c r="E439">
        <v>8</v>
      </c>
    </row>
    <row r="440" spans="1:5" x14ac:dyDescent="0.3">
      <c r="A440">
        <v>77010000176</v>
      </c>
      <c r="B440">
        <v>5</v>
      </c>
      <c r="C440" t="s">
        <v>0</v>
      </c>
      <c r="D440">
        <v>3.41</v>
      </c>
      <c r="E440">
        <v>8</v>
      </c>
    </row>
    <row r="441" spans="1:5" x14ac:dyDescent="0.3">
      <c r="A441">
        <v>77010000205</v>
      </c>
      <c r="B441">
        <v>5</v>
      </c>
      <c r="C441" t="s">
        <v>0</v>
      </c>
      <c r="D441">
        <v>3.41</v>
      </c>
      <c r="E441">
        <v>8</v>
      </c>
    </row>
    <row r="442" spans="1:5" x14ac:dyDescent="0.3">
      <c r="A442">
        <v>77010000169</v>
      </c>
      <c r="B442">
        <v>5</v>
      </c>
      <c r="C442" t="s">
        <v>0</v>
      </c>
      <c r="D442">
        <v>3.41</v>
      </c>
      <c r="E442">
        <v>8</v>
      </c>
    </row>
    <row r="443" spans="1:5" x14ac:dyDescent="0.3">
      <c r="A443">
        <v>77010000171</v>
      </c>
      <c r="B443">
        <v>5</v>
      </c>
      <c r="C443" t="s">
        <v>0</v>
      </c>
      <c r="D443">
        <v>3.41</v>
      </c>
      <c r="E443">
        <v>8</v>
      </c>
    </row>
    <row r="444" spans="1:5" x14ac:dyDescent="0.3">
      <c r="A444">
        <v>77010000186</v>
      </c>
      <c r="B444">
        <v>5</v>
      </c>
      <c r="C444" t="s">
        <v>0</v>
      </c>
      <c r="D444">
        <v>3.41</v>
      </c>
      <c r="E444">
        <v>8</v>
      </c>
    </row>
    <row r="445" spans="1:5" x14ac:dyDescent="0.3">
      <c r="A445">
        <v>77010000235</v>
      </c>
      <c r="B445">
        <v>5</v>
      </c>
      <c r="C445" t="s">
        <v>0</v>
      </c>
      <c r="D445">
        <v>3.41</v>
      </c>
      <c r="E445">
        <v>8</v>
      </c>
    </row>
    <row r="446" spans="1:5" x14ac:dyDescent="0.3">
      <c r="A446">
        <v>77010000218</v>
      </c>
      <c r="B446">
        <v>5</v>
      </c>
      <c r="C446" t="s">
        <v>0</v>
      </c>
      <c r="D446">
        <v>3.41</v>
      </c>
      <c r="E446">
        <v>8</v>
      </c>
    </row>
    <row r="447" spans="1:5" x14ac:dyDescent="0.3">
      <c r="A447">
        <v>77010000220</v>
      </c>
      <c r="B447">
        <v>5</v>
      </c>
      <c r="C447" t="s">
        <v>0</v>
      </c>
      <c r="D447">
        <v>3.41</v>
      </c>
      <c r="E447">
        <v>8</v>
      </c>
    </row>
    <row r="448" spans="1:5" x14ac:dyDescent="0.3">
      <c r="A448">
        <v>77010000181</v>
      </c>
      <c r="B448">
        <v>5</v>
      </c>
      <c r="C448" t="s">
        <v>0</v>
      </c>
      <c r="D448">
        <v>3.84</v>
      </c>
      <c r="E448">
        <v>9</v>
      </c>
    </row>
    <row r="449" spans="1:5" x14ac:dyDescent="0.3">
      <c r="A449">
        <v>77010000184</v>
      </c>
      <c r="B449">
        <v>5</v>
      </c>
      <c r="C449" t="s">
        <v>0</v>
      </c>
      <c r="D449">
        <v>3.84</v>
      </c>
      <c r="E449">
        <v>9</v>
      </c>
    </row>
    <row r="450" spans="1:5" x14ac:dyDescent="0.3">
      <c r="A450">
        <v>77010000203</v>
      </c>
      <c r="B450">
        <v>5</v>
      </c>
      <c r="C450" t="s">
        <v>0</v>
      </c>
      <c r="D450">
        <v>3.84</v>
      </c>
      <c r="E450">
        <v>9</v>
      </c>
    </row>
    <row r="451" spans="1:5" x14ac:dyDescent="0.3">
      <c r="A451">
        <v>77010000203</v>
      </c>
      <c r="B451">
        <v>5</v>
      </c>
      <c r="C451" t="s">
        <v>0</v>
      </c>
      <c r="D451">
        <v>3.84</v>
      </c>
      <c r="E451">
        <v>9</v>
      </c>
    </row>
    <row r="452" spans="1:5" x14ac:dyDescent="0.3">
      <c r="A452">
        <v>77010000189</v>
      </c>
      <c r="B452">
        <v>5</v>
      </c>
      <c r="C452" t="s">
        <v>0</v>
      </c>
      <c r="D452">
        <v>3.84</v>
      </c>
      <c r="E452">
        <v>9</v>
      </c>
    </row>
    <row r="453" spans="1:5" x14ac:dyDescent="0.3">
      <c r="A453">
        <v>77010000210</v>
      </c>
      <c r="B453">
        <v>5</v>
      </c>
      <c r="C453" t="s">
        <v>1</v>
      </c>
      <c r="D453">
        <v>7.43</v>
      </c>
      <c r="E453">
        <v>9</v>
      </c>
    </row>
    <row r="454" spans="1:5" x14ac:dyDescent="0.3">
      <c r="A454">
        <v>77010000233</v>
      </c>
      <c r="B454">
        <v>5</v>
      </c>
      <c r="C454" t="s">
        <v>0</v>
      </c>
      <c r="D454">
        <v>3.84</v>
      </c>
      <c r="E454">
        <v>9</v>
      </c>
    </row>
    <row r="455" spans="1:5" x14ac:dyDescent="0.3">
      <c r="A455">
        <v>77010000237</v>
      </c>
      <c r="B455">
        <v>5</v>
      </c>
      <c r="C455" t="s">
        <v>0</v>
      </c>
      <c r="D455">
        <v>3.84</v>
      </c>
      <c r="E455">
        <v>9</v>
      </c>
    </row>
    <row r="456" spans="1:5" x14ac:dyDescent="0.3">
      <c r="A456">
        <v>77010000192</v>
      </c>
      <c r="B456">
        <v>5</v>
      </c>
      <c r="C456" t="s">
        <v>0</v>
      </c>
      <c r="D456">
        <v>4.26</v>
      </c>
      <c r="E456">
        <v>10</v>
      </c>
    </row>
    <row r="457" spans="1:5" x14ac:dyDescent="0.3">
      <c r="A457">
        <v>77010000202</v>
      </c>
      <c r="B457">
        <v>5</v>
      </c>
      <c r="C457" t="s">
        <v>0</v>
      </c>
      <c r="D457">
        <v>4.26</v>
      </c>
      <c r="E457">
        <v>10</v>
      </c>
    </row>
    <row r="458" spans="1:5" x14ac:dyDescent="0.3">
      <c r="A458">
        <v>77010000204</v>
      </c>
      <c r="B458">
        <v>5</v>
      </c>
      <c r="C458" t="s">
        <v>0</v>
      </c>
      <c r="D458">
        <v>4.26</v>
      </c>
      <c r="E458">
        <v>10</v>
      </c>
    </row>
    <row r="459" spans="1:5" x14ac:dyDescent="0.3">
      <c r="A459">
        <v>77010000176</v>
      </c>
      <c r="B459">
        <v>5</v>
      </c>
      <c r="C459" t="s">
        <v>0</v>
      </c>
      <c r="D459">
        <v>4.26</v>
      </c>
      <c r="E459">
        <v>10</v>
      </c>
    </row>
    <row r="460" spans="1:5" x14ac:dyDescent="0.3">
      <c r="A460">
        <v>77010000187</v>
      </c>
      <c r="B460">
        <v>5</v>
      </c>
      <c r="C460" t="s">
        <v>0</v>
      </c>
      <c r="D460">
        <v>4.26</v>
      </c>
      <c r="E460">
        <v>10</v>
      </c>
    </row>
    <row r="461" spans="1:5" x14ac:dyDescent="0.3">
      <c r="A461">
        <v>77010000203</v>
      </c>
      <c r="B461">
        <v>5</v>
      </c>
      <c r="C461" t="s">
        <v>0</v>
      </c>
      <c r="D461">
        <v>4.26</v>
      </c>
      <c r="E461">
        <v>10</v>
      </c>
    </row>
    <row r="462" spans="1:5" x14ac:dyDescent="0.3">
      <c r="A462">
        <v>77010000231</v>
      </c>
      <c r="B462">
        <v>5</v>
      </c>
      <c r="C462" t="s">
        <v>0</v>
      </c>
      <c r="D462">
        <v>4.26</v>
      </c>
      <c r="E462">
        <v>10</v>
      </c>
    </row>
    <row r="463" spans="1:5" x14ac:dyDescent="0.3">
      <c r="A463">
        <v>77010000234</v>
      </c>
      <c r="B463">
        <v>5</v>
      </c>
      <c r="C463" t="s">
        <v>0</v>
      </c>
      <c r="D463">
        <v>4.26</v>
      </c>
      <c r="E463">
        <v>10</v>
      </c>
    </row>
    <row r="464" spans="1:5" x14ac:dyDescent="0.3">
      <c r="A464">
        <v>77010000197</v>
      </c>
      <c r="B464">
        <v>5</v>
      </c>
      <c r="C464" t="s">
        <v>0</v>
      </c>
      <c r="D464">
        <v>4.6900000000000004</v>
      </c>
      <c r="E464">
        <v>11</v>
      </c>
    </row>
    <row r="465" spans="1:5" x14ac:dyDescent="0.3">
      <c r="A465">
        <v>77010000172</v>
      </c>
      <c r="B465">
        <v>5</v>
      </c>
      <c r="C465" t="s">
        <v>2</v>
      </c>
      <c r="D465">
        <v>14.87</v>
      </c>
      <c r="E465">
        <v>11</v>
      </c>
    </row>
    <row r="466" spans="1:5" x14ac:dyDescent="0.3">
      <c r="A466">
        <v>77010000207</v>
      </c>
      <c r="B466">
        <v>5</v>
      </c>
      <c r="C466" t="s">
        <v>0</v>
      </c>
      <c r="D466">
        <v>4.6900000000000004</v>
      </c>
      <c r="E466">
        <v>11</v>
      </c>
    </row>
    <row r="467" spans="1:5" x14ac:dyDescent="0.3">
      <c r="A467">
        <v>77010000178</v>
      </c>
      <c r="B467">
        <v>5</v>
      </c>
      <c r="C467" t="s">
        <v>0</v>
      </c>
      <c r="D467">
        <v>4.6900000000000004</v>
      </c>
      <c r="E467">
        <v>11</v>
      </c>
    </row>
    <row r="468" spans="1:5" x14ac:dyDescent="0.3">
      <c r="A468">
        <v>77010000207</v>
      </c>
      <c r="B468">
        <v>5</v>
      </c>
      <c r="C468" t="s">
        <v>0</v>
      </c>
      <c r="D468">
        <v>4.6900000000000004</v>
      </c>
      <c r="E468">
        <v>11</v>
      </c>
    </row>
    <row r="469" spans="1:5" x14ac:dyDescent="0.3">
      <c r="A469">
        <v>77010000212</v>
      </c>
      <c r="B469">
        <v>5</v>
      </c>
      <c r="C469" t="s">
        <v>0</v>
      </c>
      <c r="D469">
        <v>4.6900000000000004</v>
      </c>
      <c r="E469">
        <v>11</v>
      </c>
    </row>
    <row r="470" spans="1:5" x14ac:dyDescent="0.3">
      <c r="A470">
        <v>77010000179</v>
      </c>
      <c r="B470">
        <v>5</v>
      </c>
      <c r="C470" t="s">
        <v>0</v>
      </c>
      <c r="D470">
        <v>5.1100000000000003</v>
      </c>
      <c r="E470">
        <v>12</v>
      </c>
    </row>
    <row r="471" spans="1:5" x14ac:dyDescent="0.3">
      <c r="A471">
        <v>77010000194</v>
      </c>
      <c r="B471">
        <v>5</v>
      </c>
      <c r="C471" t="s">
        <v>0</v>
      </c>
      <c r="D471">
        <v>5.1100000000000003</v>
      </c>
      <c r="E471">
        <v>12</v>
      </c>
    </row>
    <row r="472" spans="1:5" x14ac:dyDescent="0.3">
      <c r="A472">
        <v>77010000206</v>
      </c>
      <c r="B472">
        <v>5</v>
      </c>
      <c r="C472" t="s">
        <v>0</v>
      </c>
      <c r="D472">
        <v>5.1100000000000003</v>
      </c>
      <c r="E472">
        <v>12</v>
      </c>
    </row>
    <row r="473" spans="1:5" x14ac:dyDescent="0.3">
      <c r="A473">
        <v>77010000182</v>
      </c>
      <c r="B473">
        <v>5</v>
      </c>
      <c r="C473" t="s">
        <v>0</v>
      </c>
      <c r="D473">
        <v>5.1100000000000003</v>
      </c>
      <c r="E473">
        <v>12</v>
      </c>
    </row>
    <row r="474" spans="1:5" x14ac:dyDescent="0.3">
      <c r="A474">
        <v>77010000184</v>
      </c>
      <c r="B474">
        <v>5</v>
      </c>
      <c r="C474" t="s">
        <v>0</v>
      </c>
      <c r="D474">
        <v>5.1100000000000003</v>
      </c>
      <c r="E474">
        <v>12</v>
      </c>
    </row>
    <row r="475" spans="1:5" x14ac:dyDescent="0.3">
      <c r="A475">
        <v>77010000228</v>
      </c>
      <c r="B475">
        <v>5</v>
      </c>
      <c r="C475" t="s">
        <v>0</v>
      </c>
      <c r="D475">
        <v>5.1100000000000003</v>
      </c>
      <c r="E475">
        <v>12</v>
      </c>
    </row>
    <row r="476" spans="1:5" x14ac:dyDescent="0.3">
      <c r="A476">
        <v>77010000201</v>
      </c>
      <c r="B476">
        <v>5</v>
      </c>
      <c r="C476" t="s">
        <v>0</v>
      </c>
      <c r="D476">
        <v>5.54</v>
      </c>
      <c r="E476">
        <v>13</v>
      </c>
    </row>
    <row r="477" spans="1:5" x14ac:dyDescent="0.3">
      <c r="A477">
        <v>77010000208</v>
      </c>
      <c r="B477">
        <v>5</v>
      </c>
      <c r="C477" t="s">
        <v>0</v>
      </c>
      <c r="D477">
        <v>5.54</v>
      </c>
      <c r="E477">
        <v>13</v>
      </c>
    </row>
    <row r="478" spans="1:5" x14ac:dyDescent="0.3">
      <c r="A478">
        <v>77010000209</v>
      </c>
      <c r="B478">
        <v>5</v>
      </c>
      <c r="C478" t="s">
        <v>0</v>
      </c>
      <c r="D478">
        <v>5.54</v>
      </c>
      <c r="E478">
        <v>13</v>
      </c>
    </row>
    <row r="479" spans="1:5" x14ac:dyDescent="0.3">
      <c r="A479">
        <v>77010000226</v>
      </c>
      <c r="B479">
        <v>5</v>
      </c>
      <c r="C479" t="s">
        <v>0</v>
      </c>
      <c r="D479">
        <v>5.54</v>
      </c>
      <c r="E479">
        <v>13</v>
      </c>
    </row>
    <row r="480" spans="1:5" x14ac:dyDescent="0.3">
      <c r="A480">
        <v>77010000228</v>
      </c>
      <c r="B480">
        <v>5</v>
      </c>
      <c r="C480" t="s">
        <v>0</v>
      </c>
      <c r="D480">
        <v>5.54</v>
      </c>
      <c r="E480">
        <v>13</v>
      </c>
    </row>
    <row r="481" spans="1:5" x14ac:dyDescent="0.3">
      <c r="A481">
        <v>77010000210</v>
      </c>
      <c r="B481">
        <v>5</v>
      </c>
      <c r="C481" t="s">
        <v>0</v>
      </c>
      <c r="D481">
        <v>5.54</v>
      </c>
      <c r="E481">
        <v>13</v>
      </c>
    </row>
    <row r="482" spans="1:5" x14ac:dyDescent="0.3">
      <c r="A482">
        <v>77010000213</v>
      </c>
      <c r="B482">
        <v>5</v>
      </c>
      <c r="C482" t="s">
        <v>0</v>
      </c>
      <c r="D482">
        <v>5.54</v>
      </c>
      <c r="E482">
        <v>13</v>
      </c>
    </row>
    <row r="483" spans="1:5" x14ac:dyDescent="0.3">
      <c r="A483">
        <v>77010000236</v>
      </c>
      <c r="B483">
        <v>5</v>
      </c>
      <c r="C483" t="s">
        <v>0</v>
      </c>
      <c r="D483">
        <v>5.54</v>
      </c>
      <c r="E483">
        <v>13</v>
      </c>
    </row>
    <row r="484" spans="1:5" x14ac:dyDescent="0.3">
      <c r="A484">
        <v>77010000178</v>
      </c>
      <c r="B484">
        <v>5</v>
      </c>
      <c r="C484" t="s">
        <v>0</v>
      </c>
      <c r="D484">
        <v>5.97</v>
      </c>
      <c r="E484">
        <v>14</v>
      </c>
    </row>
    <row r="485" spans="1:5" x14ac:dyDescent="0.3">
      <c r="A485">
        <v>77010000207</v>
      </c>
      <c r="B485">
        <v>5</v>
      </c>
      <c r="C485" t="s">
        <v>0</v>
      </c>
      <c r="D485">
        <v>6.39</v>
      </c>
      <c r="E485">
        <v>15</v>
      </c>
    </row>
    <row r="486" spans="1:5" x14ac:dyDescent="0.3">
      <c r="A486">
        <v>77010000202</v>
      </c>
      <c r="B486">
        <v>5</v>
      </c>
      <c r="C486" t="s">
        <v>0</v>
      </c>
      <c r="D486">
        <v>6.39</v>
      </c>
      <c r="E486">
        <v>15</v>
      </c>
    </row>
    <row r="487" spans="1:5" x14ac:dyDescent="0.3">
      <c r="A487">
        <v>77010000194</v>
      </c>
      <c r="B487">
        <v>5</v>
      </c>
      <c r="C487" t="s">
        <v>0</v>
      </c>
      <c r="D487">
        <v>6.39</v>
      </c>
      <c r="E487">
        <v>15</v>
      </c>
    </row>
    <row r="488" spans="1:5" x14ac:dyDescent="0.3">
      <c r="A488">
        <v>77010000177</v>
      </c>
      <c r="B488">
        <v>5</v>
      </c>
      <c r="C488" t="s">
        <v>0</v>
      </c>
      <c r="D488">
        <v>6.82</v>
      </c>
      <c r="E488">
        <v>16</v>
      </c>
    </row>
    <row r="489" spans="1:5" x14ac:dyDescent="0.3">
      <c r="A489">
        <v>77010000179</v>
      </c>
      <c r="B489">
        <v>5</v>
      </c>
      <c r="C489" t="s">
        <v>0</v>
      </c>
      <c r="D489">
        <v>6.82</v>
      </c>
      <c r="E489">
        <v>16</v>
      </c>
    </row>
    <row r="490" spans="1:5" x14ac:dyDescent="0.3">
      <c r="A490">
        <v>77010000206</v>
      </c>
      <c r="B490">
        <v>5</v>
      </c>
      <c r="C490" t="s">
        <v>0</v>
      </c>
      <c r="D490">
        <v>7.25</v>
      </c>
      <c r="E490">
        <v>17</v>
      </c>
    </row>
    <row r="491" spans="1:5" x14ac:dyDescent="0.3">
      <c r="A491">
        <v>77010000236</v>
      </c>
      <c r="B491">
        <v>5</v>
      </c>
      <c r="C491" t="s">
        <v>0</v>
      </c>
      <c r="D491">
        <v>7.25</v>
      </c>
      <c r="E491">
        <v>17</v>
      </c>
    </row>
    <row r="492" spans="1:5" x14ac:dyDescent="0.3">
      <c r="A492">
        <v>77010000179</v>
      </c>
      <c r="B492">
        <v>5</v>
      </c>
      <c r="C492" t="s">
        <v>0</v>
      </c>
      <c r="D492">
        <v>7.67</v>
      </c>
      <c r="E492">
        <v>18</v>
      </c>
    </row>
    <row r="493" spans="1:5" x14ac:dyDescent="0.3">
      <c r="A493">
        <v>77010000188</v>
      </c>
      <c r="B493">
        <v>5</v>
      </c>
      <c r="C493" t="s">
        <v>0</v>
      </c>
      <c r="D493">
        <v>7.67</v>
      </c>
      <c r="E493">
        <v>18</v>
      </c>
    </row>
    <row r="494" spans="1:5" x14ac:dyDescent="0.3">
      <c r="A494">
        <v>77010000191</v>
      </c>
      <c r="B494">
        <v>5</v>
      </c>
      <c r="C494" t="s">
        <v>0</v>
      </c>
      <c r="D494">
        <v>7.67</v>
      </c>
      <c r="E494">
        <v>18</v>
      </c>
    </row>
    <row r="495" spans="1:5" x14ac:dyDescent="0.3">
      <c r="A495">
        <v>77010000194</v>
      </c>
      <c r="B495">
        <v>5</v>
      </c>
      <c r="C495" t="s">
        <v>0</v>
      </c>
      <c r="D495">
        <v>7.67</v>
      </c>
      <c r="E495">
        <v>18</v>
      </c>
    </row>
    <row r="496" spans="1:5" x14ac:dyDescent="0.3">
      <c r="A496">
        <v>77010000195</v>
      </c>
      <c r="B496">
        <v>5</v>
      </c>
      <c r="C496" t="s">
        <v>0</v>
      </c>
      <c r="D496">
        <v>7.67</v>
      </c>
      <c r="E496">
        <v>18</v>
      </c>
    </row>
    <row r="497" spans="1:5" x14ac:dyDescent="0.3">
      <c r="A497">
        <v>77010000185</v>
      </c>
      <c r="B497">
        <v>5</v>
      </c>
      <c r="C497" t="s">
        <v>0</v>
      </c>
      <c r="D497">
        <v>7.67</v>
      </c>
      <c r="E497">
        <v>18</v>
      </c>
    </row>
    <row r="498" spans="1:5" x14ac:dyDescent="0.3">
      <c r="A498">
        <v>77010000188</v>
      </c>
      <c r="B498">
        <v>5</v>
      </c>
      <c r="C498" t="s">
        <v>0</v>
      </c>
      <c r="D498">
        <v>7.67</v>
      </c>
      <c r="E498">
        <v>18</v>
      </c>
    </row>
    <row r="499" spans="1:5" x14ac:dyDescent="0.3">
      <c r="A499">
        <v>77010000213</v>
      </c>
      <c r="B499">
        <v>5</v>
      </c>
      <c r="C499" t="s">
        <v>1</v>
      </c>
      <c r="D499">
        <v>14.87</v>
      </c>
      <c r="E499">
        <v>18</v>
      </c>
    </row>
    <row r="500" spans="1:5" x14ac:dyDescent="0.3">
      <c r="A500">
        <v>77010000230</v>
      </c>
      <c r="B500">
        <v>5</v>
      </c>
      <c r="C500" t="s">
        <v>0</v>
      </c>
      <c r="D500">
        <v>7.67</v>
      </c>
      <c r="E500">
        <v>18</v>
      </c>
    </row>
    <row r="501" spans="1:5" x14ac:dyDescent="0.3">
      <c r="A501">
        <v>77010000217</v>
      </c>
      <c r="B501">
        <v>5</v>
      </c>
      <c r="C501" t="s">
        <v>0</v>
      </c>
      <c r="D501">
        <v>7.67</v>
      </c>
      <c r="E501">
        <v>18</v>
      </c>
    </row>
    <row r="502" spans="1:5" x14ac:dyDescent="0.3">
      <c r="A502">
        <v>77010000183</v>
      </c>
      <c r="B502">
        <v>5</v>
      </c>
      <c r="C502" t="s">
        <v>0</v>
      </c>
      <c r="D502">
        <v>8.1</v>
      </c>
      <c r="E502">
        <v>19</v>
      </c>
    </row>
    <row r="503" spans="1:5" x14ac:dyDescent="0.3">
      <c r="A503">
        <v>77010000176</v>
      </c>
      <c r="B503">
        <v>5</v>
      </c>
      <c r="C503" t="s">
        <v>0</v>
      </c>
      <c r="D503">
        <v>8.1</v>
      </c>
      <c r="E503">
        <v>19</v>
      </c>
    </row>
    <row r="504" spans="1:5" x14ac:dyDescent="0.3">
      <c r="A504">
        <v>77010000180</v>
      </c>
      <c r="B504">
        <v>5</v>
      </c>
      <c r="C504" t="s">
        <v>0</v>
      </c>
      <c r="D504">
        <v>8.1</v>
      </c>
      <c r="E504">
        <v>19</v>
      </c>
    </row>
    <row r="505" spans="1:5" x14ac:dyDescent="0.3">
      <c r="A505">
        <v>77010000232</v>
      </c>
      <c r="B505">
        <v>5</v>
      </c>
      <c r="C505" t="s">
        <v>0</v>
      </c>
      <c r="D505">
        <v>8.1</v>
      </c>
      <c r="E505">
        <v>19</v>
      </c>
    </row>
    <row r="506" spans="1:5" x14ac:dyDescent="0.3">
      <c r="A506">
        <v>77010000204</v>
      </c>
      <c r="B506">
        <v>5</v>
      </c>
      <c r="C506" t="s">
        <v>0</v>
      </c>
      <c r="D506">
        <v>8.52</v>
      </c>
      <c r="E506">
        <v>20</v>
      </c>
    </row>
    <row r="507" spans="1:5" x14ac:dyDescent="0.3">
      <c r="A507">
        <v>77010000208</v>
      </c>
      <c r="B507">
        <v>5</v>
      </c>
      <c r="C507" t="s">
        <v>2</v>
      </c>
      <c r="D507">
        <v>14.87</v>
      </c>
      <c r="E507">
        <v>20</v>
      </c>
    </row>
    <row r="508" spans="1:5" x14ac:dyDescent="0.3">
      <c r="A508">
        <v>77010000234</v>
      </c>
      <c r="B508">
        <v>5</v>
      </c>
      <c r="C508" t="s">
        <v>0</v>
      </c>
      <c r="D508">
        <v>8.52</v>
      </c>
      <c r="E508">
        <v>20</v>
      </c>
    </row>
    <row r="509" spans="1:5" x14ac:dyDescent="0.3">
      <c r="A509">
        <v>77010000196</v>
      </c>
      <c r="B509">
        <v>5</v>
      </c>
      <c r="C509" t="s">
        <v>0</v>
      </c>
      <c r="D509">
        <v>8.9499999999999993</v>
      </c>
      <c r="E509">
        <v>21</v>
      </c>
    </row>
    <row r="510" spans="1:5" x14ac:dyDescent="0.3">
      <c r="A510">
        <v>77010000170</v>
      </c>
      <c r="B510">
        <v>5</v>
      </c>
      <c r="C510" t="s">
        <v>0</v>
      </c>
      <c r="D510">
        <v>9.3800000000000008</v>
      </c>
      <c r="E510">
        <v>22</v>
      </c>
    </row>
    <row r="511" spans="1:5" x14ac:dyDescent="0.3">
      <c r="A511">
        <v>77010000173</v>
      </c>
      <c r="B511">
        <v>5</v>
      </c>
      <c r="C511" t="s">
        <v>0</v>
      </c>
      <c r="D511">
        <v>9.3800000000000008</v>
      </c>
      <c r="E511">
        <v>22</v>
      </c>
    </row>
    <row r="512" spans="1:5" x14ac:dyDescent="0.3">
      <c r="A512">
        <v>77010000211</v>
      </c>
      <c r="B512">
        <v>5</v>
      </c>
      <c r="C512" t="s">
        <v>0</v>
      </c>
      <c r="D512">
        <v>9.3800000000000008</v>
      </c>
      <c r="E512">
        <v>22</v>
      </c>
    </row>
    <row r="513" spans="1:5" x14ac:dyDescent="0.3">
      <c r="A513">
        <v>77010000181</v>
      </c>
      <c r="B513">
        <v>5</v>
      </c>
      <c r="C513" t="s">
        <v>0</v>
      </c>
      <c r="D513">
        <v>9.8000000000000007</v>
      </c>
      <c r="E513">
        <v>23</v>
      </c>
    </row>
    <row r="514" spans="1:5" x14ac:dyDescent="0.3">
      <c r="A514">
        <v>77010000186</v>
      </c>
      <c r="B514">
        <v>5</v>
      </c>
      <c r="C514" t="s">
        <v>0</v>
      </c>
      <c r="D514">
        <v>9.8000000000000007</v>
      </c>
      <c r="E514">
        <v>23</v>
      </c>
    </row>
    <row r="515" spans="1:5" x14ac:dyDescent="0.3">
      <c r="A515">
        <v>77010000229</v>
      </c>
      <c r="B515">
        <v>5</v>
      </c>
      <c r="C515" t="s">
        <v>0</v>
      </c>
      <c r="D515">
        <v>9.8000000000000007</v>
      </c>
      <c r="E515">
        <v>23</v>
      </c>
    </row>
    <row r="516" spans="1:5" x14ac:dyDescent="0.3">
      <c r="A516">
        <v>77010000205</v>
      </c>
      <c r="B516">
        <v>5</v>
      </c>
      <c r="C516" t="s">
        <v>0</v>
      </c>
      <c r="D516">
        <v>10.66</v>
      </c>
      <c r="E516">
        <v>25</v>
      </c>
    </row>
    <row r="517" spans="1:5" x14ac:dyDescent="0.3">
      <c r="A517">
        <v>77010000222</v>
      </c>
      <c r="B517">
        <v>5</v>
      </c>
      <c r="C517" t="s">
        <v>0</v>
      </c>
      <c r="D517">
        <v>11.08</v>
      </c>
      <c r="E517">
        <v>26</v>
      </c>
    </row>
    <row r="518" spans="1:5" x14ac:dyDescent="0.3">
      <c r="A518">
        <v>77010000225</v>
      </c>
      <c r="B518">
        <v>5</v>
      </c>
      <c r="C518" t="s">
        <v>0</v>
      </c>
      <c r="D518">
        <v>11.08</v>
      </c>
      <c r="E518">
        <v>26</v>
      </c>
    </row>
    <row r="519" spans="1:5" x14ac:dyDescent="0.3">
      <c r="A519">
        <v>77010000214</v>
      </c>
      <c r="B519">
        <v>5</v>
      </c>
      <c r="C519" t="s">
        <v>0</v>
      </c>
      <c r="D519">
        <v>11.93</v>
      </c>
      <c r="E519">
        <v>28</v>
      </c>
    </row>
    <row r="520" spans="1:5" x14ac:dyDescent="0.3">
      <c r="A520">
        <v>77010000211</v>
      </c>
      <c r="B520">
        <v>5</v>
      </c>
      <c r="C520" t="s">
        <v>0</v>
      </c>
      <c r="D520">
        <v>13.21</v>
      </c>
      <c r="E520">
        <v>31</v>
      </c>
    </row>
    <row r="521" spans="1:5" x14ac:dyDescent="0.3">
      <c r="A521">
        <v>77010000215</v>
      </c>
      <c r="B521">
        <v>5</v>
      </c>
      <c r="C521" t="s">
        <v>0</v>
      </c>
      <c r="D521">
        <v>14.06</v>
      </c>
      <c r="E521">
        <v>33</v>
      </c>
    </row>
    <row r="522" spans="1:5" x14ac:dyDescent="0.3">
      <c r="A522">
        <v>77010000262</v>
      </c>
      <c r="B522">
        <v>6</v>
      </c>
      <c r="C522" t="s">
        <v>0</v>
      </c>
      <c r="D522">
        <v>0</v>
      </c>
      <c r="E522">
        <v>0</v>
      </c>
    </row>
    <row r="523" spans="1:5" x14ac:dyDescent="0.3">
      <c r="A523">
        <v>77010000240</v>
      </c>
      <c r="B523">
        <v>6</v>
      </c>
      <c r="C523" t="s">
        <v>0</v>
      </c>
      <c r="D523">
        <v>4.26</v>
      </c>
      <c r="E523">
        <v>1</v>
      </c>
    </row>
    <row r="524" spans="1:5" x14ac:dyDescent="0.3">
      <c r="A524">
        <v>77010000244</v>
      </c>
      <c r="B524">
        <v>6</v>
      </c>
      <c r="C524" t="s">
        <v>0</v>
      </c>
      <c r="D524">
        <v>4.26</v>
      </c>
      <c r="E524">
        <v>1</v>
      </c>
    </row>
    <row r="525" spans="1:5" x14ac:dyDescent="0.3">
      <c r="A525">
        <v>77010000245</v>
      </c>
      <c r="B525">
        <v>6</v>
      </c>
      <c r="C525" t="s">
        <v>0</v>
      </c>
      <c r="D525">
        <v>4.26</v>
      </c>
      <c r="E525">
        <v>1</v>
      </c>
    </row>
    <row r="526" spans="1:5" x14ac:dyDescent="0.3">
      <c r="A526">
        <v>77010000247</v>
      </c>
      <c r="B526">
        <v>6</v>
      </c>
      <c r="C526" t="s">
        <v>0</v>
      </c>
      <c r="D526">
        <v>4.26</v>
      </c>
      <c r="E526">
        <v>1</v>
      </c>
    </row>
    <row r="527" spans="1:5" x14ac:dyDescent="0.3">
      <c r="A527">
        <v>77010000252</v>
      </c>
      <c r="B527">
        <v>6</v>
      </c>
      <c r="C527" t="s">
        <v>0</v>
      </c>
      <c r="D527">
        <v>4.26</v>
      </c>
      <c r="E527">
        <v>1</v>
      </c>
    </row>
    <row r="528" spans="1:5" x14ac:dyDescent="0.3">
      <c r="A528">
        <v>77010000269</v>
      </c>
      <c r="B528">
        <v>6</v>
      </c>
      <c r="C528" t="s">
        <v>0</v>
      </c>
      <c r="D528">
        <v>4.26</v>
      </c>
      <c r="E528">
        <v>1</v>
      </c>
    </row>
    <row r="529" spans="1:5" x14ac:dyDescent="0.3">
      <c r="A529">
        <v>77010000273</v>
      </c>
      <c r="B529">
        <v>6</v>
      </c>
      <c r="C529" t="s">
        <v>0</v>
      </c>
      <c r="D529">
        <v>4.26</v>
      </c>
      <c r="E529">
        <v>1</v>
      </c>
    </row>
    <row r="530" spans="1:5" x14ac:dyDescent="0.3">
      <c r="A530">
        <v>77010000287</v>
      </c>
      <c r="B530">
        <v>6</v>
      </c>
      <c r="C530" t="s">
        <v>0</v>
      </c>
      <c r="D530">
        <v>4.26</v>
      </c>
      <c r="E530">
        <v>1</v>
      </c>
    </row>
    <row r="531" spans="1:5" x14ac:dyDescent="0.3">
      <c r="A531">
        <v>77010000288</v>
      </c>
      <c r="B531">
        <v>6</v>
      </c>
      <c r="C531" t="s">
        <v>0</v>
      </c>
      <c r="D531">
        <v>4.26</v>
      </c>
      <c r="E531">
        <v>1</v>
      </c>
    </row>
    <row r="532" spans="1:5" x14ac:dyDescent="0.3">
      <c r="A532">
        <v>77010000291</v>
      </c>
      <c r="B532">
        <v>6</v>
      </c>
      <c r="C532" t="s">
        <v>0</v>
      </c>
      <c r="D532">
        <v>4.26</v>
      </c>
      <c r="E532">
        <v>1</v>
      </c>
    </row>
    <row r="533" spans="1:5" x14ac:dyDescent="0.3">
      <c r="A533">
        <v>77010000293</v>
      </c>
      <c r="B533">
        <v>6</v>
      </c>
      <c r="C533" t="s">
        <v>1</v>
      </c>
      <c r="D533">
        <v>7.43</v>
      </c>
      <c r="E533">
        <v>1</v>
      </c>
    </row>
    <row r="534" spans="1:5" x14ac:dyDescent="0.3">
      <c r="A534">
        <v>77010000310</v>
      </c>
      <c r="B534">
        <v>6</v>
      </c>
      <c r="C534" t="s">
        <v>0</v>
      </c>
      <c r="D534">
        <v>4.26</v>
      </c>
      <c r="E534">
        <v>1</v>
      </c>
    </row>
    <row r="535" spans="1:5" x14ac:dyDescent="0.3">
      <c r="A535">
        <v>77010000244</v>
      </c>
      <c r="B535">
        <v>6</v>
      </c>
      <c r="C535" t="s">
        <v>0</v>
      </c>
      <c r="D535">
        <v>4.26</v>
      </c>
      <c r="E535">
        <v>1</v>
      </c>
    </row>
    <row r="536" spans="1:5" x14ac:dyDescent="0.3">
      <c r="A536">
        <v>77010000271</v>
      </c>
      <c r="B536">
        <v>6</v>
      </c>
      <c r="C536" t="s">
        <v>1</v>
      </c>
      <c r="D536">
        <v>7.43</v>
      </c>
      <c r="E536">
        <v>1</v>
      </c>
    </row>
    <row r="537" spans="1:5" x14ac:dyDescent="0.3">
      <c r="A537">
        <v>77010000239</v>
      </c>
      <c r="B537">
        <v>6</v>
      </c>
      <c r="C537" t="s">
        <v>0</v>
      </c>
      <c r="D537">
        <v>4.26</v>
      </c>
      <c r="E537">
        <v>2</v>
      </c>
    </row>
    <row r="538" spans="1:5" x14ac:dyDescent="0.3">
      <c r="A538">
        <v>77010000243</v>
      </c>
      <c r="B538">
        <v>6</v>
      </c>
      <c r="C538" t="s">
        <v>0</v>
      </c>
      <c r="D538">
        <v>4.26</v>
      </c>
      <c r="E538">
        <v>2</v>
      </c>
    </row>
    <row r="539" spans="1:5" x14ac:dyDescent="0.3">
      <c r="A539">
        <v>77010000251</v>
      </c>
      <c r="B539">
        <v>6</v>
      </c>
      <c r="C539" t="s">
        <v>0</v>
      </c>
      <c r="D539">
        <v>4.26</v>
      </c>
      <c r="E539">
        <v>2</v>
      </c>
    </row>
    <row r="540" spans="1:5" x14ac:dyDescent="0.3">
      <c r="A540">
        <v>77010000306</v>
      </c>
      <c r="B540">
        <v>6</v>
      </c>
      <c r="C540" t="s">
        <v>0</v>
      </c>
      <c r="D540">
        <v>4.26</v>
      </c>
      <c r="E540">
        <v>2</v>
      </c>
    </row>
    <row r="541" spans="1:5" x14ac:dyDescent="0.3">
      <c r="A541">
        <v>77010000273</v>
      </c>
      <c r="B541">
        <v>6</v>
      </c>
      <c r="C541" t="s">
        <v>0</v>
      </c>
      <c r="D541">
        <v>4.26</v>
      </c>
      <c r="E541">
        <v>2</v>
      </c>
    </row>
    <row r="542" spans="1:5" x14ac:dyDescent="0.3">
      <c r="A542">
        <v>77010000279</v>
      </c>
      <c r="B542">
        <v>6</v>
      </c>
      <c r="C542" t="s">
        <v>0</v>
      </c>
      <c r="D542">
        <v>4.26</v>
      </c>
      <c r="E542">
        <v>2</v>
      </c>
    </row>
    <row r="543" spans="1:5" x14ac:dyDescent="0.3">
      <c r="A543">
        <v>77010000281</v>
      </c>
      <c r="B543">
        <v>6</v>
      </c>
      <c r="C543" t="s">
        <v>0</v>
      </c>
      <c r="D543">
        <v>4.26</v>
      </c>
      <c r="E543">
        <v>2</v>
      </c>
    </row>
    <row r="544" spans="1:5" x14ac:dyDescent="0.3">
      <c r="A544">
        <v>77010000238</v>
      </c>
      <c r="B544">
        <v>6</v>
      </c>
      <c r="C544" t="s">
        <v>0</v>
      </c>
      <c r="D544">
        <v>4.26</v>
      </c>
      <c r="E544">
        <v>3</v>
      </c>
    </row>
    <row r="545" spans="1:5" x14ac:dyDescent="0.3">
      <c r="A545">
        <v>77010000246</v>
      </c>
      <c r="B545">
        <v>6</v>
      </c>
      <c r="C545" t="s">
        <v>0</v>
      </c>
      <c r="D545">
        <v>4.26</v>
      </c>
      <c r="E545">
        <v>3</v>
      </c>
    </row>
    <row r="546" spans="1:5" x14ac:dyDescent="0.3">
      <c r="A546">
        <v>77010000248</v>
      </c>
      <c r="B546">
        <v>6</v>
      </c>
      <c r="C546" t="s">
        <v>0</v>
      </c>
      <c r="D546">
        <v>4.26</v>
      </c>
      <c r="E546">
        <v>3</v>
      </c>
    </row>
    <row r="547" spans="1:5" x14ac:dyDescent="0.3">
      <c r="A547">
        <v>77010000281</v>
      </c>
      <c r="B547">
        <v>6</v>
      </c>
      <c r="C547" t="s">
        <v>0</v>
      </c>
      <c r="D547">
        <v>4.26</v>
      </c>
      <c r="E547">
        <v>3</v>
      </c>
    </row>
    <row r="548" spans="1:5" x14ac:dyDescent="0.3">
      <c r="A548">
        <v>77010000270</v>
      </c>
      <c r="B548">
        <v>6</v>
      </c>
      <c r="C548" t="s">
        <v>0</v>
      </c>
      <c r="D548">
        <v>4.26</v>
      </c>
      <c r="E548">
        <v>3</v>
      </c>
    </row>
    <row r="549" spans="1:5" x14ac:dyDescent="0.3">
      <c r="A549">
        <v>77010000271</v>
      </c>
      <c r="B549">
        <v>6</v>
      </c>
      <c r="C549" t="s">
        <v>0</v>
      </c>
      <c r="D549">
        <v>4.26</v>
      </c>
      <c r="E549">
        <v>4</v>
      </c>
    </row>
    <row r="550" spans="1:5" x14ac:dyDescent="0.3">
      <c r="A550">
        <v>77010000294</v>
      </c>
      <c r="B550">
        <v>6</v>
      </c>
      <c r="C550" t="s">
        <v>0</v>
      </c>
      <c r="D550">
        <v>4.26</v>
      </c>
      <c r="E550">
        <v>4</v>
      </c>
    </row>
    <row r="551" spans="1:5" x14ac:dyDescent="0.3">
      <c r="A551">
        <v>77010000290</v>
      </c>
      <c r="B551">
        <v>6</v>
      </c>
      <c r="C551" t="s">
        <v>0</v>
      </c>
      <c r="D551">
        <v>4.26</v>
      </c>
      <c r="E551">
        <v>4</v>
      </c>
    </row>
    <row r="552" spans="1:5" x14ac:dyDescent="0.3">
      <c r="A552">
        <v>77010000258</v>
      </c>
      <c r="B552">
        <v>6</v>
      </c>
      <c r="C552" t="s">
        <v>0</v>
      </c>
      <c r="D552">
        <v>0</v>
      </c>
      <c r="E552">
        <v>4</v>
      </c>
    </row>
    <row r="553" spans="1:5" x14ac:dyDescent="0.3">
      <c r="A553">
        <v>77010000288</v>
      </c>
      <c r="B553">
        <v>6</v>
      </c>
      <c r="C553" t="s">
        <v>0</v>
      </c>
      <c r="D553">
        <v>4.26</v>
      </c>
      <c r="E553">
        <v>4</v>
      </c>
    </row>
    <row r="554" spans="1:5" x14ac:dyDescent="0.3">
      <c r="A554">
        <v>77010000270</v>
      </c>
      <c r="B554">
        <v>6</v>
      </c>
      <c r="C554" t="s">
        <v>0</v>
      </c>
      <c r="D554">
        <v>4.26</v>
      </c>
      <c r="E554">
        <v>5</v>
      </c>
    </row>
    <row r="555" spans="1:5" x14ac:dyDescent="0.3">
      <c r="A555">
        <v>77010000285</v>
      </c>
      <c r="B555">
        <v>6</v>
      </c>
      <c r="C555" t="s">
        <v>0</v>
      </c>
      <c r="D555">
        <v>4.26</v>
      </c>
      <c r="E555">
        <v>5</v>
      </c>
    </row>
    <row r="556" spans="1:5" x14ac:dyDescent="0.3">
      <c r="A556">
        <v>77010000295</v>
      </c>
      <c r="B556">
        <v>6</v>
      </c>
      <c r="C556" t="s">
        <v>0</v>
      </c>
      <c r="D556">
        <v>4.26</v>
      </c>
      <c r="E556">
        <v>5</v>
      </c>
    </row>
    <row r="557" spans="1:5" x14ac:dyDescent="0.3">
      <c r="A557">
        <v>77010000312</v>
      </c>
      <c r="B557">
        <v>6</v>
      </c>
      <c r="C557" t="s">
        <v>0</v>
      </c>
      <c r="D557">
        <v>4.26</v>
      </c>
      <c r="E557">
        <v>5</v>
      </c>
    </row>
    <row r="558" spans="1:5" x14ac:dyDescent="0.3">
      <c r="A558">
        <v>77010000248</v>
      </c>
      <c r="B558">
        <v>6</v>
      </c>
      <c r="C558" t="s">
        <v>0</v>
      </c>
      <c r="D558">
        <v>4.26</v>
      </c>
      <c r="E558">
        <v>5</v>
      </c>
    </row>
    <row r="559" spans="1:5" x14ac:dyDescent="0.3">
      <c r="A559">
        <v>77010000241</v>
      </c>
      <c r="B559">
        <v>6</v>
      </c>
      <c r="C559" t="s">
        <v>0</v>
      </c>
      <c r="D559">
        <v>4.26</v>
      </c>
      <c r="E559">
        <v>6</v>
      </c>
    </row>
    <row r="560" spans="1:5" x14ac:dyDescent="0.3">
      <c r="A560">
        <v>77010000242</v>
      </c>
      <c r="B560">
        <v>6</v>
      </c>
      <c r="C560" t="s">
        <v>0</v>
      </c>
      <c r="D560">
        <v>4.26</v>
      </c>
      <c r="E560">
        <v>6</v>
      </c>
    </row>
    <row r="561" spans="1:5" x14ac:dyDescent="0.3">
      <c r="A561">
        <v>77010000249</v>
      </c>
      <c r="B561">
        <v>6</v>
      </c>
      <c r="C561" t="s">
        <v>0</v>
      </c>
      <c r="D561">
        <v>4.26</v>
      </c>
      <c r="E561">
        <v>6</v>
      </c>
    </row>
    <row r="562" spans="1:5" x14ac:dyDescent="0.3">
      <c r="A562">
        <v>77010000257</v>
      </c>
      <c r="B562">
        <v>6</v>
      </c>
      <c r="C562" t="s">
        <v>0</v>
      </c>
      <c r="D562">
        <v>4.26</v>
      </c>
      <c r="E562">
        <v>6</v>
      </c>
    </row>
    <row r="563" spans="1:5" x14ac:dyDescent="0.3">
      <c r="A563">
        <v>77010000289</v>
      </c>
      <c r="B563">
        <v>6</v>
      </c>
      <c r="C563" t="s">
        <v>0</v>
      </c>
      <c r="D563">
        <v>4.26</v>
      </c>
      <c r="E563">
        <v>6</v>
      </c>
    </row>
    <row r="564" spans="1:5" x14ac:dyDescent="0.3">
      <c r="A564">
        <v>77010000290</v>
      </c>
      <c r="B564">
        <v>6</v>
      </c>
      <c r="C564" t="s">
        <v>0</v>
      </c>
      <c r="D564">
        <v>4.26</v>
      </c>
      <c r="E564">
        <v>6</v>
      </c>
    </row>
    <row r="565" spans="1:5" x14ac:dyDescent="0.3">
      <c r="A565">
        <v>77010000250</v>
      </c>
      <c r="B565">
        <v>6</v>
      </c>
      <c r="C565" t="s">
        <v>0</v>
      </c>
      <c r="D565">
        <v>4.26</v>
      </c>
      <c r="E565">
        <v>7</v>
      </c>
    </row>
    <row r="566" spans="1:5" x14ac:dyDescent="0.3">
      <c r="A566">
        <v>77010000292</v>
      </c>
      <c r="B566">
        <v>6</v>
      </c>
      <c r="C566" t="s">
        <v>0</v>
      </c>
      <c r="D566">
        <v>4.26</v>
      </c>
      <c r="E566">
        <v>7</v>
      </c>
    </row>
    <row r="567" spans="1:5" x14ac:dyDescent="0.3">
      <c r="A567">
        <v>77010000243</v>
      </c>
      <c r="B567">
        <v>6</v>
      </c>
      <c r="C567" t="s">
        <v>0</v>
      </c>
      <c r="D567">
        <v>4.26</v>
      </c>
      <c r="E567">
        <v>7</v>
      </c>
    </row>
    <row r="568" spans="1:5" x14ac:dyDescent="0.3">
      <c r="A568">
        <v>77010000254</v>
      </c>
      <c r="B568">
        <v>6</v>
      </c>
      <c r="C568" t="s">
        <v>0</v>
      </c>
      <c r="D568">
        <v>4.26</v>
      </c>
      <c r="E568">
        <v>7</v>
      </c>
    </row>
    <row r="569" spans="1:5" x14ac:dyDescent="0.3">
      <c r="A569">
        <v>77010000258</v>
      </c>
      <c r="B569">
        <v>6</v>
      </c>
      <c r="C569" t="s">
        <v>0</v>
      </c>
      <c r="D569">
        <v>4.26</v>
      </c>
      <c r="E569">
        <v>7</v>
      </c>
    </row>
    <row r="570" spans="1:5" x14ac:dyDescent="0.3">
      <c r="A570">
        <v>77010000293</v>
      </c>
      <c r="B570">
        <v>6</v>
      </c>
      <c r="C570" t="s">
        <v>0</v>
      </c>
      <c r="D570">
        <v>4.26</v>
      </c>
      <c r="E570">
        <v>7</v>
      </c>
    </row>
    <row r="571" spans="1:5" x14ac:dyDescent="0.3">
      <c r="A571">
        <v>77010000260</v>
      </c>
      <c r="B571">
        <v>6</v>
      </c>
      <c r="C571" t="s">
        <v>0</v>
      </c>
      <c r="D571">
        <v>4.26</v>
      </c>
      <c r="E571">
        <v>8</v>
      </c>
    </row>
    <row r="572" spans="1:5" x14ac:dyDescent="0.3">
      <c r="A572">
        <v>77010000261</v>
      </c>
      <c r="B572">
        <v>6</v>
      </c>
      <c r="C572" t="s">
        <v>0</v>
      </c>
      <c r="D572">
        <v>4.26</v>
      </c>
      <c r="E572">
        <v>8</v>
      </c>
    </row>
    <row r="573" spans="1:5" x14ac:dyDescent="0.3">
      <c r="A573">
        <v>77010000282</v>
      </c>
      <c r="B573">
        <v>6</v>
      </c>
      <c r="C573" t="s">
        <v>0</v>
      </c>
      <c r="D573">
        <v>4.26</v>
      </c>
      <c r="E573">
        <v>8</v>
      </c>
    </row>
    <row r="574" spans="1:5" x14ac:dyDescent="0.3">
      <c r="A574">
        <v>77010000255</v>
      </c>
      <c r="B574">
        <v>6</v>
      </c>
      <c r="C574" t="s">
        <v>0</v>
      </c>
      <c r="D574">
        <v>4.26</v>
      </c>
      <c r="E574">
        <v>8</v>
      </c>
    </row>
    <row r="575" spans="1:5" x14ac:dyDescent="0.3">
      <c r="A575">
        <v>77010000307</v>
      </c>
      <c r="B575">
        <v>6</v>
      </c>
      <c r="C575" t="s">
        <v>0</v>
      </c>
      <c r="D575">
        <v>4.26</v>
      </c>
      <c r="E575">
        <v>8</v>
      </c>
    </row>
    <row r="576" spans="1:5" x14ac:dyDescent="0.3">
      <c r="A576">
        <v>77010000274</v>
      </c>
      <c r="B576">
        <v>6</v>
      </c>
      <c r="C576" t="s">
        <v>0</v>
      </c>
      <c r="D576">
        <v>4.26</v>
      </c>
      <c r="E576">
        <v>9</v>
      </c>
    </row>
    <row r="577" spans="1:5" x14ac:dyDescent="0.3">
      <c r="A577">
        <v>77010000287</v>
      </c>
      <c r="B577">
        <v>6</v>
      </c>
      <c r="C577" t="s">
        <v>0</v>
      </c>
      <c r="D577">
        <v>4.26</v>
      </c>
      <c r="E577">
        <v>9</v>
      </c>
    </row>
    <row r="578" spans="1:5" x14ac:dyDescent="0.3">
      <c r="A578">
        <v>77010000306</v>
      </c>
      <c r="B578">
        <v>6</v>
      </c>
      <c r="C578" t="s">
        <v>0</v>
      </c>
      <c r="D578">
        <v>4.26</v>
      </c>
      <c r="E578">
        <v>9</v>
      </c>
    </row>
    <row r="579" spans="1:5" x14ac:dyDescent="0.3">
      <c r="A579">
        <v>77010000256</v>
      </c>
      <c r="B579">
        <v>6</v>
      </c>
      <c r="C579" t="s">
        <v>0</v>
      </c>
      <c r="D579">
        <v>4.26</v>
      </c>
      <c r="E579">
        <v>10</v>
      </c>
    </row>
    <row r="580" spans="1:5" x14ac:dyDescent="0.3">
      <c r="A580">
        <v>77010000308</v>
      </c>
      <c r="B580">
        <v>6</v>
      </c>
      <c r="C580" t="s">
        <v>0</v>
      </c>
      <c r="D580">
        <v>4.26</v>
      </c>
      <c r="E580">
        <v>10</v>
      </c>
    </row>
    <row r="581" spans="1:5" x14ac:dyDescent="0.3">
      <c r="A581">
        <v>77010000275</v>
      </c>
      <c r="B581">
        <v>6</v>
      </c>
      <c r="C581" t="s">
        <v>0</v>
      </c>
      <c r="D581">
        <v>4.26</v>
      </c>
      <c r="E581">
        <v>10</v>
      </c>
    </row>
    <row r="582" spans="1:5" x14ac:dyDescent="0.3">
      <c r="A582">
        <v>77010000310</v>
      </c>
      <c r="B582">
        <v>6</v>
      </c>
      <c r="C582" t="s">
        <v>0</v>
      </c>
      <c r="D582">
        <v>4.26</v>
      </c>
      <c r="E582">
        <v>10</v>
      </c>
    </row>
    <row r="583" spans="1:5" x14ac:dyDescent="0.3">
      <c r="A583">
        <v>77010000311</v>
      </c>
      <c r="B583">
        <v>6</v>
      </c>
      <c r="C583" t="s">
        <v>0</v>
      </c>
      <c r="D583">
        <v>4.26</v>
      </c>
      <c r="E583">
        <v>10</v>
      </c>
    </row>
    <row r="584" spans="1:5" x14ac:dyDescent="0.3">
      <c r="A584">
        <v>77010000245</v>
      </c>
      <c r="B584">
        <v>6</v>
      </c>
      <c r="C584" t="s">
        <v>0</v>
      </c>
      <c r="D584">
        <v>4.26</v>
      </c>
      <c r="E584">
        <v>10</v>
      </c>
    </row>
    <row r="585" spans="1:5" x14ac:dyDescent="0.3">
      <c r="A585">
        <v>77010000259</v>
      </c>
      <c r="B585">
        <v>6</v>
      </c>
      <c r="C585" t="s">
        <v>0</v>
      </c>
      <c r="D585">
        <v>4.26</v>
      </c>
      <c r="E585">
        <v>10</v>
      </c>
    </row>
    <row r="586" spans="1:5" x14ac:dyDescent="0.3">
      <c r="A586">
        <v>77010000272</v>
      </c>
      <c r="B586">
        <v>6</v>
      </c>
      <c r="C586" t="s">
        <v>0</v>
      </c>
      <c r="D586">
        <v>4.26</v>
      </c>
      <c r="E586">
        <v>10</v>
      </c>
    </row>
    <row r="587" spans="1:5" x14ac:dyDescent="0.3">
      <c r="A587">
        <v>77010000268</v>
      </c>
      <c r="B587">
        <v>6</v>
      </c>
      <c r="C587" t="s">
        <v>0</v>
      </c>
      <c r="D587">
        <v>8.52</v>
      </c>
      <c r="E587">
        <v>11</v>
      </c>
    </row>
    <row r="588" spans="1:5" x14ac:dyDescent="0.3">
      <c r="A588">
        <v>77010000279</v>
      </c>
      <c r="B588">
        <v>6</v>
      </c>
      <c r="C588" t="s">
        <v>0</v>
      </c>
      <c r="D588">
        <v>8.52</v>
      </c>
      <c r="E588">
        <v>11</v>
      </c>
    </row>
    <row r="589" spans="1:5" x14ac:dyDescent="0.3">
      <c r="A589">
        <v>77010000309</v>
      </c>
      <c r="B589">
        <v>6</v>
      </c>
      <c r="C589" t="s">
        <v>0</v>
      </c>
      <c r="D589">
        <v>8.52</v>
      </c>
      <c r="E589">
        <v>11</v>
      </c>
    </row>
    <row r="590" spans="1:5" x14ac:dyDescent="0.3">
      <c r="A590">
        <v>77010000245</v>
      </c>
      <c r="B590">
        <v>6</v>
      </c>
      <c r="C590" t="s">
        <v>0</v>
      </c>
      <c r="D590">
        <v>8.52</v>
      </c>
      <c r="E590">
        <v>11</v>
      </c>
    </row>
    <row r="591" spans="1:5" x14ac:dyDescent="0.3">
      <c r="A591">
        <v>77010000253</v>
      </c>
      <c r="B591">
        <v>6</v>
      </c>
      <c r="C591" t="s">
        <v>1</v>
      </c>
      <c r="D591">
        <v>14.87</v>
      </c>
      <c r="E591">
        <v>12</v>
      </c>
    </row>
    <row r="592" spans="1:5" x14ac:dyDescent="0.3">
      <c r="A592">
        <v>77010000259</v>
      </c>
      <c r="B592">
        <v>6</v>
      </c>
      <c r="C592" t="s">
        <v>0</v>
      </c>
      <c r="D592">
        <v>8.52</v>
      </c>
      <c r="E592">
        <v>12</v>
      </c>
    </row>
    <row r="593" spans="1:5" x14ac:dyDescent="0.3">
      <c r="A593">
        <v>77010000275</v>
      </c>
      <c r="B593">
        <v>6</v>
      </c>
      <c r="C593" t="s">
        <v>0</v>
      </c>
      <c r="D593">
        <v>8.52</v>
      </c>
      <c r="E593">
        <v>12</v>
      </c>
    </row>
    <row r="594" spans="1:5" x14ac:dyDescent="0.3">
      <c r="A594">
        <v>77010000276</v>
      </c>
      <c r="B594">
        <v>6</v>
      </c>
      <c r="C594" t="s">
        <v>0</v>
      </c>
      <c r="D594">
        <v>8.52</v>
      </c>
      <c r="E594">
        <v>12</v>
      </c>
    </row>
    <row r="595" spans="1:5" x14ac:dyDescent="0.3">
      <c r="A595">
        <v>77010000280</v>
      </c>
      <c r="B595">
        <v>6</v>
      </c>
      <c r="C595" t="s">
        <v>0</v>
      </c>
      <c r="D595">
        <v>8.52</v>
      </c>
      <c r="E595">
        <v>12</v>
      </c>
    </row>
    <row r="596" spans="1:5" x14ac:dyDescent="0.3">
      <c r="A596">
        <v>77010000296</v>
      </c>
      <c r="B596">
        <v>6</v>
      </c>
      <c r="C596" t="s">
        <v>0</v>
      </c>
      <c r="D596">
        <v>8.52</v>
      </c>
      <c r="E596">
        <v>12</v>
      </c>
    </row>
    <row r="597" spans="1:5" x14ac:dyDescent="0.3">
      <c r="A597">
        <v>77010000311</v>
      </c>
      <c r="B597">
        <v>6</v>
      </c>
      <c r="C597" t="s">
        <v>0</v>
      </c>
      <c r="D597">
        <v>8.52</v>
      </c>
      <c r="E597">
        <v>12</v>
      </c>
    </row>
    <row r="598" spans="1:5" x14ac:dyDescent="0.3">
      <c r="A598">
        <v>77010000291</v>
      </c>
      <c r="B598">
        <v>6</v>
      </c>
      <c r="C598" t="s">
        <v>0</v>
      </c>
      <c r="D598">
        <v>8.52</v>
      </c>
      <c r="E598">
        <v>12</v>
      </c>
    </row>
    <row r="599" spans="1:5" x14ac:dyDescent="0.3">
      <c r="A599">
        <v>77010000308</v>
      </c>
      <c r="B599">
        <v>6</v>
      </c>
      <c r="C599" t="s">
        <v>0</v>
      </c>
      <c r="D599">
        <v>8.52</v>
      </c>
      <c r="E599">
        <v>12</v>
      </c>
    </row>
    <row r="600" spans="1:5" x14ac:dyDescent="0.3">
      <c r="A600">
        <v>77010000272</v>
      </c>
      <c r="B600">
        <v>6</v>
      </c>
      <c r="C600" t="s">
        <v>0</v>
      </c>
      <c r="D600">
        <v>8.52</v>
      </c>
      <c r="E600">
        <v>13</v>
      </c>
    </row>
    <row r="601" spans="1:5" x14ac:dyDescent="0.3">
      <c r="A601">
        <v>77010000278</v>
      </c>
      <c r="B601">
        <v>6</v>
      </c>
      <c r="C601" t="s">
        <v>0</v>
      </c>
      <c r="D601">
        <v>8.52</v>
      </c>
      <c r="E601">
        <v>13</v>
      </c>
    </row>
    <row r="602" spans="1:5" x14ac:dyDescent="0.3">
      <c r="A602">
        <v>77010000256</v>
      </c>
      <c r="B602">
        <v>6</v>
      </c>
      <c r="C602" t="s">
        <v>0</v>
      </c>
      <c r="D602">
        <v>8.52</v>
      </c>
      <c r="E602">
        <v>13</v>
      </c>
    </row>
    <row r="603" spans="1:5" x14ac:dyDescent="0.3">
      <c r="A603">
        <v>77010000292</v>
      </c>
      <c r="B603">
        <v>6</v>
      </c>
      <c r="C603" t="s">
        <v>0</v>
      </c>
      <c r="D603">
        <v>8.52</v>
      </c>
      <c r="E603">
        <v>13</v>
      </c>
    </row>
    <row r="604" spans="1:5" x14ac:dyDescent="0.3">
      <c r="A604">
        <v>77010000249</v>
      </c>
      <c r="B604">
        <v>6</v>
      </c>
      <c r="C604" t="s">
        <v>3</v>
      </c>
      <c r="D604">
        <v>24.5</v>
      </c>
      <c r="E604">
        <v>13</v>
      </c>
    </row>
    <row r="605" spans="1:5" x14ac:dyDescent="0.3">
      <c r="A605">
        <v>77010000254</v>
      </c>
      <c r="B605">
        <v>6</v>
      </c>
      <c r="C605" t="s">
        <v>0</v>
      </c>
      <c r="D605">
        <v>8.52</v>
      </c>
      <c r="E605">
        <v>14</v>
      </c>
    </row>
    <row r="606" spans="1:5" x14ac:dyDescent="0.3">
      <c r="A606">
        <v>77010000277</v>
      </c>
      <c r="B606">
        <v>6</v>
      </c>
      <c r="C606" t="s">
        <v>0</v>
      </c>
      <c r="D606">
        <v>8.52</v>
      </c>
      <c r="E606">
        <v>14</v>
      </c>
    </row>
    <row r="607" spans="1:5" x14ac:dyDescent="0.3">
      <c r="A607">
        <v>77010000286</v>
      </c>
      <c r="B607">
        <v>6</v>
      </c>
      <c r="C607" t="s">
        <v>0</v>
      </c>
      <c r="D607">
        <v>8.52</v>
      </c>
      <c r="E607">
        <v>14</v>
      </c>
    </row>
    <row r="608" spans="1:5" x14ac:dyDescent="0.3">
      <c r="A608">
        <v>77010000257</v>
      </c>
      <c r="B608">
        <v>6</v>
      </c>
      <c r="C608" t="s">
        <v>0</v>
      </c>
      <c r="D608">
        <v>8.52</v>
      </c>
      <c r="E608">
        <v>14</v>
      </c>
    </row>
    <row r="609" spans="1:5" x14ac:dyDescent="0.3">
      <c r="A609">
        <v>77010000280</v>
      </c>
      <c r="B609">
        <v>6</v>
      </c>
      <c r="C609" t="s">
        <v>0</v>
      </c>
      <c r="D609">
        <v>8.52</v>
      </c>
      <c r="E609">
        <v>14</v>
      </c>
    </row>
    <row r="610" spans="1:5" x14ac:dyDescent="0.3">
      <c r="A610">
        <v>77010000255</v>
      </c>
      <c r="B610">
        <v>6</v>
      </c>
      <c r="C610" t="s">
        <v>0</v>
      </c>
      <c r="D610">
        <v>8.52</v>
      </c>
      <c r="E610">
        <v>15</v>
      </c>
    </row>
    <row r="611" spans="1:5" x14ac:dyDescent="0.3">
      <c r="A611">
        <v>77010000284</v>
      </c>
      <c r="B611">
        <v>6</v>
      </c>
      <c r="C611" t="s">
        <v>0</v>
      </c>
      <c r="D611">
        <v>8.52</v>
      </c>
      <c r="E611">
        <v>15</v>
      </c>
    </row>
    <row r="612" spans="1:5" x14ac:dyDescent="0.3">
      <c r="A612">
        <v>77010000297</v>
      </c>
      <c r="B612">
        <v>6</v>
      </c>
      <c r="C612" t="s">
        <v>0</v>
      </c>
      <c r="D612">
        <v>8.52</v>
      </c>
      <c r="E612">
        <v>15</v>
      </c>
    </row>
    <row r="613" spans="1:5" x14ac:dyDescent="0.3">
      <c r="A613">
        <v>77010000313</v>
      </c>
      <c r="B613">
        <v>6</v>
      </c>
      <c r="C613" t="s">
        <v>0</v>
      </c>
      <c r="D613">
        <v>8.52</v>
      </c>
      <c r="E613">
        <v>16</v>
      </c>
    </row>
    <row r="614" spans="1:5" x14ac:dyDescent="0.3">
      <c r="A614">
        <v>77010000274</v>
      </c>
      <c r="B614">
        <v>6</v>
      </c>
      <c r="C614" t="s">
        <v>0</v>
      </c>
      <c r="D614">
        <v>8.52</v>
      </c>
      <c r="E614">
        <v>16</v>
      </c>
    </row>
    <row r="615" spans="1:5" x14ac:dyDescent="0.3">
      <c r="A615">
        <v>77010000260</v>
      </c>
      <c r="B615">
        <v>6</v>
      </c>
      <c r="C615" t="s">
        <v>0</v>
      </c>
      <c r="D615">
        <v>8.52</v>
      </c>
      <c r="E615">
        <v>16</v>
      </c>
    </row>
    <row r="616" spans="1:5" x14ac:dyDescent="0.3">
      <c r="A616">
        <v>77010000292</v>
      </c>
      <c r="B616">
        <v>6</v>
      </c>
      <c r="C616" t="s">
        <v>0</v>
      </c>
      <c r="D616">
        <v>8.52</v>
      </c>
      <c r="E616">
        <v>16</v>
      </c>
    </row>
    <row r="617" spans="1:5" x14ac:dyDescent="0.3">
      <c r="A617">
        <v>77010000258</v>
      </c>
      <c r="B617">
        <v>6</v>
      </c>
      <c r="C617" t="s">
        <v>0</v>
      </c>
      <c r="D617">
        <v>8.52</v>
      </c>
      <c r="E617">
        <v>18</v>
      </c>
    </row>
    <row r="618" spans="1:5" x14ac:dyDescent="0.3">
      <c r="A618">
        <v>77010000307</v>
      </c>
      <c r="B618">
        <v>6</v>
      </c>
      <c r="C618" t="s">
        <v>0</v>
      </c>
      <c r="D618">
        <v>8.52</v>
      </c>
      <c r="E618">
        <v>18</v>
      </c>
    </row>
    <row r="619" spans="1:5" x14ac:dyDescent="0.3">
      <c r="A619">
        <v>77010000272</v>
      </c>
      <c r="B619">
        <v>6</v>
      </c>
      <c r="C619" t="s">
        <v>0</v>
      </c>
      <c r="D619">
        <v>8.52</v>
      </c>
      <c r="E619">
        <v>19</v>
      </c>
    </row>
    <row r="620" spans="1:5" x14ac:dyDescent="0.3">
      <c r="A620">
        <v>77010000269</v>
      </c>
      <c r="B620">
        <v>6</v>
      </c>
      <c r="C620" t="s">
        <v>0</v>
      </c>
      <c r="D620">
        <v>12.79</v>
      </c>
      <c r="E620">
        <v>21</v>
      </c>
    </row>
    <row r="621" spans="1:5" x14ac:dyDescent="0.3">
      <c r="A621">
        <v>77010000283</v>
      </c>
      <c r="B621">
        <v>6</v>
      </c>
      <c r="C621" t="s">
        <v>0</v>
      </c>
      <c r="D621">
        <v>12.79</v>
      </c>
      <c r="E621">
        <v>22</v>
      </c>
    </row>
    <row r="622" spans="1:5" x14ac:dyDescent="0.3">
      <c r="A622">
        <v>77010000246</v>
      </c>
      <c r="B622">
        <v>6</v>
      </c>
      <c r="C622" t="s">
        <v>0</v>
      </c>
      <c r="D622">
        <v>12.79</v>
      </c>
      <c r="E622">
        <v>22</v>
      </c>
    </row>
    <row r="623" spans="1:5" x14ac:dyDescent="0.3">
      <c r="A623">
        <v>77010000247</v>
      </c>
      <c r="B623">
        <v>6</v>
      </c>
      <c r="C623" t="s">
        <v>0</v>
      </c>
      <c r="D623">
        <v>12.79</v>
      </c>
      <c r="E623">
        <v>22</v>
      </c>
    </row>
    <row r="624" spans="1:5" x14ac:dyDescent="0.3">
      <c r="A624">
        <v>77010000278</v>
      </c>
      <c r="B624">
        <v>6</v>
      </c>
      <c r="C624" t="s">
        <v>0</v>
      </c>
      <c r="D624">
        <v>12.79</v>
      </c>
      <c r="E624">
        <v>22</v>
      </c>
    </row>
    <row r="625" spans="1:5" x14ac:dyDescent="0.3">
      <c r="A625">
        <v>77010000291</v>
      </c>
      <c r="B625">
        <v>6</v>
      </c>
      <c r="C625" t="s">
        <v>0</v>
      </c>
      <c r="D625">
        <v>12.79</v>
      </c>
      <c r="E625">
        <v>23</v>
      </c>
    </row>
    <row r="626" spans="1:5" x14ac:dyDescent="0.3">
      <c r="A626">
        <v>77010000246</v>
      </c>
      <c r="B626">
        <v>6</v>
      </c>
      <c r="C626" t="s">
        <v>1</v>
      </c>
      <c r="D626">
        <v>22.3</v>
      </c>
      <c r="E626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M13"/>
  <sheetViews>
    <sheetView workbookViewId="0">
      <selection activeCell="M13" sqref="M13"/>
    </sheetView>
  </sheetViews>
  <sheetFormatPr defaultRowHeight="14.4" x14ac:dyDescent="0.3"/>
  <sheetData>
    <row r="1" spans="1:13" x14ac:dyDescent="0.3">
      <c r="A1">
        <f>VLOOKUP(77010000055,'База данных'!A:B,2,FALSE)</f>
        <v>1</v>
      </c>
    </row>
    <row r="2" spans="1:13" x14ac:dyDescent="0.3">
      <c r="A2">
        <f>SUMIF('База данных'!B:B,"1",'База данных'!E:E)</f>
        <v>2705</v>
      </c>
    </row>
    <row r="3" spans="1:13" x14ac:dyDescent="0.3">
      <c r="A3" t="e" cm="1">
        <f t="array" ref="A3" ca="1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#NAME?</v>
      </c>
    </row>
    <row r="13" spans="1:13" x14ac:dyDescent="0.3">
      <c r="M13">
        <f>SUMPRODUCT(('База данных'!A2:A1000&lt;&gt;"")/COUNTIF('База данных'!A2:A1000,'База данных'!A2:A1000&amp;""))</f>
        <v>292.00000000000068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Лист ответов</vt:lpstr>
      <vt:lpstr>База данных</vt:lpstr>
      <vt:lpstr>Відомості1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Georgii</cp:lastModifiedBy>
  <dcterms:created xsi:type="dcterms:W3CDTF">2010-08-09T12:20:19Z</dcterms:created>
  <dcterms:modified xsi:type="dcterms:W3CDTF">2026-10-04T14:42:18Z</dcterms:modified>
</cp:coreProperties>
</file>